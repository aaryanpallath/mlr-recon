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State" sheetId="2" state="visible" r:id="rId2"/>
    <sheet name="Peer View" sheetId="3" state="visible" r:id="rId3"/>
    <sheet name="Exceptions" sheetId="4" state="visible" r:id="rId4"/>
  </sheets>
  <definedNames>
    <definedName name="_xlnm._FilterDatabase" localSheetId="1" hidden="1">'By State'!$A$1:$I$159</definedName>
    <definedName name="_xlnm._FilterDatabase" localSheetId="3" hidden="1">'Exceptions'!$A$1:$Q$19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0.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1" t="inlineStr">
        <is>
          <t>MLR reconciliation — reporting year 2023</t>
        </is>
      </c>
    </row>
    <row r="2">
      <c r="A2" t="inlineStr">
        <is>
          <t>Source: CMS Medical Loss Ratio public use file (state filings; company roll-ups excluded)</t>
        </is>
      </c>
    </row>
    <row r="4">
      <c r="A4" t="inlineStr">
        <is>
          <t>Filings with rebate data</t>
        </is>
      </c>
      <c r="B4" t="n">
        <v>1331</v>
      </c>
    </row>
    <row r="5">
      <c r="A5" t="inlineStr">
        <is>
          <t>Market filings owing rebates</t>
        </is>
      </c>
      <c r="B5" t="n">
        <v>218</v>
      </c>
    </row>
    <row r="6">
      <c r="A6" t="inlineStr">
        <is>
          <t>Total rebates reported</t>
        </is>
      </c>
      <c r="B6" s="2" t="n">
        <v>967172720.6</v>
      </c>
    </row>
    <row r="7">
      <c r="A7" t="inlineStr">
        <is>
          <t>Exceptions</t>
        </is>
      </c>
      <c r="B7" t="n">
        <v>18</v>
      </c>
    </row>
    <row r="8">
      <c r="A8" t="inlineStr">
        <is>
          <t xml:space="preserve">  implausible value</t>
        </is>
      </c>
      <c r="B8" t="n">
        <v>6</v>
      </c>
    </row>
    <row r="9">
      <c r="A9" t="inlineStr">
        <is>
          <t xml:space="preserve">  nonpositive premium</t>
        </is>
      </c>
      <c r="B9" t="n">
        <v>9</v>
      </c>
    </row>
    <row r="10">
      <c r="A10" t="inlineStr">
        <is>
          <t xml:space="preserve">  unexplained</t>
        </is>
      </c>
      <c r="B10" t="n">
        <v>3</v>
      </c>
    </row>
    <row r="11">
      <c r="A11" t="inlineStr">
        <is>
          <t>Checks passed: preliminary mlr</t>
        </is>
      </c>
      <c r="B11" t="inlineStr">
        <is>
          <t>1375 of 1375</t>
        </is>
      </c>
    </row>
    <row r="12">
      <c r="A12" t="inlineStr">
        <is>
          <t>Checks passed: adjusted mlr</t>
        </is>
      </c>
      <c r="B12" t="inlineStr">
        <is>
          <t>1372 of 1379</t>
        </is>
      </c>
    </row>
    <row r="13">
      <c r="A13" t="inlineStr">
        <is>
          <t>Checks passed: rebate</t>
        </is>
      </c>
      <c r="B13" t="inlineStr">
        <is>
          <t>1352 of 1363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22" customWidth="1" min="4" max="4"/>
    <col width="22" customWidth="1" min="5" max="5"/>
    <col width="14" customWidth="1" min="6" max="6"/>
    <col width="20" customWidth="1" min="7" max="7"/>
    <col width="16" customWidth="1" min="8" max="8"/>
    <col width="14" customWidth="1" min="9" max="9"/>
  </cols>
  <sheetData>
    <row r="1">
      <c r="A1" s="3" t="inlineStr">
        <is>
          <t>State</t>
        </is>
      </c>
      <c r="B1" s="3" t="inlineStr">
        <is>
          <t>Market</t>
        </is>
      </c>
      <c r="C1" s="3" t="inlineStr">
        <is>
          <t>Insurers</t>
        </is>
      </c>
      <c r="D1" s="3" t="inlineStr">
        <is>
          <t>MLR numerator (3-yr)</t>
        </is>
      </c>
      <c r="E1" s="3" t="inlineStr">
        <is>
          <t>MLR denominator (3-yr)</t>
        </is>
      </c>
      <c r="F1" s="3" t="inlineStr">
        <is>
          <t>Weighted MLR</t>
        </is>
      </c>
      <c r="G1" s="3" t="inlineStr">
        <is>
          <t>Earned premium (yr)</t>
        </is>
      </c>
      <c r="H1" s="3" t="inlineStr">
        <is>
          <t>Rebates</t>
        </is>
      </c>
      <c r="I1" s="3" t="inlineStr">
        <is>
          <t>Insurers owing</t>
        </is>
      </c>
    </row>
    <row r="2">
      <c r="A2" t="inlineStr">
        <is>
          <t>AK</t>
        </is>
      </c>
      <c r="B2" t="inlineStr">
        <is>
          <t>Individual</t>
        </is>
      </c>
      <c r="C2" t="n">
        <v>5</v>
      </c>
      <c r="D2" s="2" t="n">
        <v>536576385.0783859</v>
      </c>
      <c r="E2" s="2" t="n">
        <v>531432193.95605</v>
      </c>
      <c r="F2" s="4">
        <f>IFERROR(D2/E2,"")</f>
        <v/>
      </c>
      <c r="G2" s="2" t="n">
        <v>233249989.66</v>
      </c>
      <c r="H2" s="2" t="n">
        <v>0</v>
      </c>
      <c r="I2" t="n">
        <v>0</v>
      </c>
    </row>
    <row r="3">
      <c r="A3" t="inlineStr">
        <is>
          <t>AK</t>
        </is>
      </c>
      <c r="B3" t="inlineStr">
        <is>
          <t>Large group</t>
        </is>
      </c>
      <c r="C3" t="n">
        <v>5</v>
      </c>
      <c r="D3" s="2" t="n">
        <v>2065368863.091424</v>
      </c>
      <c r="E3" s="2" t="n">
        <v>2217487837.15394</v>
      </c>
      <c r="F3" s="4">
        <f>IFERROR(D3/E3,"")</f>
        <v/>
      </c>
      <c r="G3" s="2" t="n">
        <v>826568119.96</v>
      </c>
      <c r="H3" s="2" t="n">
        <v>0</v>
      </c>
      <c r="I3" t="n">
        <v>0</v>
      </c>
    </row>
    <row r="4">
      <c r="A4" t="inlineStr">
        <is>
          <t>AK</t>
        </is>
      </c>
      <c r="B4" t="inlineStr">
        <is>
          <t>Small group</t>
        </is>
      </c>
      <c r="C4" t="n">
        <v>4</v>
      </c>
      <c r="D4" s="2" t="n">
        <v>339907737.3811706</v>
      </c>
      <c r="E4" s="2" t="n">
        <v>393029550.42751</v>
      </c>
      <c r="F4" s="4">
        <f>IFERROR(D4/E4,"")</f>
        <v/>
      </c>
      <c r="G4" s="2" t="n">
        <v>133817242.23</v>
      </c>
      <c r="H4" s="2" t="n">
        <v>0</v>
      </c>
      <c r="I4" t="n">
        <v>0</v>
      </c>
    </row>
    <row r="5">
      <c r="A5" t="inlineStr">
        <is>
          <t>AL</t>
        </is>
      </c>
      <c r="B5" t="inlineStr">
        <is>
          <t>Individual</t>
        </is>
      </c>
      <c r="C5" t="n">
        <v>8</v>
      </c>
      <c r="D5" s="2" t="n">
        <v>4710150446.248691</v>
      </c>
      <c r="E5" s="2" t="n">
        <v>5500574470.48913</v>
      </c>
      <c r="F5" s="4">
        <f>IFERROR(D5/E5,"")</f>
        <v/>
      </c>
      <c r="G5" s="2" t="n">
        <v>2204325041.863726</v>
      </c>
      <c r="H5" s="2" t="n">
        <v>39202416.6698</v>
      </c>
      <c r="I5" t="n">
        <v>2</v>
      </c>
    </row>
    <row r="6">
      <c r="A6" t="inlineStr">
        <is>
          <t>AL</t>
        </is>
      </c>
      <c r="B6" t="inlineStr">
        <is>
          <t>Large group</t>
        </is>
      </c>
      <c r="C6" t="n">
        <v>7</v>
      </c>
      <c r="D6" s="2" t="n">
        <v>9172702445.322926</v>
      </c>
      <c r="E6" s="2" t="n">
        <v>9770798417.923914</v>
      </c>
      <c r="F6" s="4">
        <f>IFERROR(D6/E6,"")</f>
        <v/>
      </c>
      <c r="G6" s="2" t="n">
        <v>3514311738.18</v>
      </c>
      <c r="H6" s="2" t="n">
        <v>0</v>
      </c>
      <c r="I6" t="n">
        <v>0</v>
      </c>
    </row>
    <row r="7">
      <c r="A7" t="inlineStr">
        <is>
          <t>AL</t>
        </is>
      </c>
      <c r="B7" t="inlineStr">
        <is>
          <t>Small group</t>
        </is>
      </c>
      <c r="C7" t="n">
        <v>4</v>
      </c>
      <c r="D7" s="2" t="n">
        <v>2977008450.493504</v>
      </c>
      <c r="E7" s="2" t="n">
        <v>3278998183.465467</v>
      </c>
      <c r="F7" s="4">
        <f>IFERROR(D7/E7,"")</f>
        <v/>
      </c>
      <c r="G7" s="2" t="n">
        <v>1162676242.53</v>
      </c>
      <c r="H7" s="2" t="n">
        <v>6181.0816</v>
      </c>
      <c r="I7" t="n">
        <v>1</v>
      </c>
    </row>
    <row r="8">
      <c r="A8" t="inlineStr">
        <is>
          <t>AR</t>
        </is>
      </c>
      <c r="B8" t="inlineStr">
        <is>
          <t>Individual</t>
        </is>
      </c>
      <c r="C8" t="n">
        <v>13</v>
      </c>
      <c r="D8" s="2" t="n">
        <v>5222346361.12625</v>
      </c>
      <c r="E8" s="2" t="n">
        <v>6595662328.780484</v>
      </c>
      <c r="F8" s="4">
        <f>IFERROR(D8/E8,"")</f>
        <v/>
      </c>
      <c r="G8" s="2" t="n">
        <v>2355621730.51768</v>
      </c>
      <c r="H8" s="2" t="n">
        <v>62049865.63971364</v>
      </c>
      <c r="I8" t="n">
        <v>3</v>
      </c>
    </row>
    <row r="9">
      <c r="A9" t="inlineStr">
        <is>
          <t>AR</t>
        </is>
      </c>
      <c r="B9" t="inlineStr">
        <is>
          <t>Large group</t>
        </is>
      </c>
      <c r="C9" t="n">
        <v>11</v>
      </c>
      <c r="D9" s="2" t="n">
        <v>3367948662.636707</v>
      </c>
      <c r="E9" s="2" t="n">
        <v>3761745381.309398</v>
      </c>
      <c r="F9" s="4">
        <f>IFERROR(D9/E9,"")</f>
        <v/>
      </c>
      <c r="G9" s="2" t="n">
        <v>1342732766.190385</v>
      </c>
      <c r="H9" s="2" t="n">
        <v>1787980.8726</v>
      </c>
      <c r="I9" t="n">
        <v>1</v>
      </c>
    </row>
    <row r="10">
      <c r="A10" t="inlineStr">
        <is>
          <t>AR</t>
        </is>
      </c>
      <c r="B10" t="inlineStr">
        <is>
          <t>Small group</t>
        </is>
      </c>
      <c r="C10" t="n">
        <v>8</v>
      </c>
      <c r="D10" s="2" t="n">
        <v>1072077329.853407</v>
      </c>
      <c r="E10" s="2" t="n">
        <v>1279434042.909092</v>
      </c>
      <c r="F10" s="4">
        <f>IFERROR(D10/E10,"")</f>
        <v/>
      </c>
      <c r="G10" s="2" t="n">
        <v>453597842.7700001</v>
      </c>
      <c r="H10" s="2" t="n">
        <v>1235366.4114</v>
      </c>
      <c r="I10" t="n">
        <v>1</v>
      </c>
    </row>
    <row r="11">
      <c r="A11" t="inlineStr">
        <is>
          <t>AZ</t>
        </is>
      </c>
      <c r="B11" t="inlineStr">
        <is>
          <t>Individual</t>
        </is>
      </c>
      <c r="C11" t="n">
        <v>14</v>
      </c>
      <c r="D11" s="2" t="n">
        <v>3064795429.703694</v>
      </c>
      <c r="E11" s="2" t="n">
        <v>3819838577.810488</v>
      </c>
      <c r="F11" s="4">
        <f>IFERROR(D11/E11,"")</f>
        <v/>
      </c>
      <c r="G11" s="2" t="n">
        <v>1716938453.9924</v>
      </c>
      <c r="H11" s="2" t="n">
        <v>34957782.72939174</v>
      </c>
      <c r="I11" t="n">
        <v>2</v>
      </c>
    </row>
    <row r="12">
      <c r="A12" t="inlineStr">
        <is>
          <t>AZ</t>
        </is>
      </c>
      <c r="B12" t="inlineStr">
        <is>
          <t>Large group</t>
        </is>
      </c>
      <c r="C12" t="n">
        <v>15</v>
      </c>
      <c r="D12" s="2" t="n">
        <v>6602390113.607539</v>
      </c>
      <c r="E12" s="2" t="n">
        <v>7533944211.488078</v>
      </c>
      <c r="F12" s="4">
        <f>IFERROR(D12/E12,"")</f>
        <v/>
      </c>
      <c r="G12" s="2" t="n">
        <v>2726892504.709695</v>
      </c>
      <c r="H12" s="2" t="n">
        <v>2508070.76021608</v>
      </c>
      <c r="I12" t="n">
        <v>4</v>
      </c>
    </row>
    <row r="13">
      <c r="A13" t="inlineStr">
        <is>
          <t>AZ</t>
        </is>
      </c>
      <c r="B13" t="inlineStr">
        <is>
          <t>Small group</t>
        </is>
      </c>
      <c r="C13" t="n">
        <v>11</v>
      </c>
      <c r="D13" s="2" t="n">
        <v>2053840618.468202</v>
      </c>
      <c r="E13" s="2" t="n">
        <v>2596420763.202724</v>
      </c>
      <c r="F13" s="4">
        <f>IFERROR(D13/E13,"")</f>
        <v/>
      </c>
      <c r="G13" s="2" t="n">
        <v>885297267.1600001</v>
      </c>
      <c r="H13" s="2" t="n">
        <v>13702066.75212379</v>
      </c>
      <c r="I13" t="n">
        <v>3</v>
      </c>
    </row>
    <row r="14">
      <c r="A14" t="inlineStr">
        <is>
          <t>CA</t>
        </is>
      </c>
      <c r="B14" t="inlineStr">
        <is>
          <t>Individual</t>
        </is>
      </c>
      <c r="C14" t="n">
        <v>26</v>
      </c>
      <c r="D14" s="2" t="n">
        <v>43630689817.93679</v>
      </c>
      <c r="E14" s="2" t="n">
        <v>45715104711.67384</v>
      </c>
      <c r="F14" s="4">
        <f>IFERROR(D14/E14,"")</f>
        <v/>
      </c>
      <c r="G14" s="2" t="n">
        <v>15890006917.72278</v>
      </c>
      <c r="H14" s="2" t="n">
        <v>0</v>
      </c>
      <c r="I14" t="n">
        <v>0</v>
      </c>
    </row>
    <row r="15">
      <c r="A15" t="inlineStr">
        <is>
          <t>CA</t>
        </is>
      </c>
      <c r="B15" t="inlineStr">
        <is>
          <t>Large group</t>
        </is>
      </c>
      <c r="C15" t="n">
        <v>38</v>
      </c>
      <c r="D15" s="2" t="n">
        <v>165296775114.0162</v>
      </c>
      <c r="E15" s="2" t="n">
        <v>180245815222.1136</v>
      </c>
      <c r="F15" s="4">
        <f>IFERROR(D15/E15,"")</f>
        <v/>
      </c>
      <c r="G15" s="2" t="n">
        <v>64073155229.9706</v>
      </c>
      <c r="H15" s="2" t="n">
        <v>23515130.28504696</v>
      </c>
      <c r="I15" t="n">
        <v>6</v>
      </c>
    </row>
    <row r="16">
      <c r="A16" t="inlineStr">
        <is>
          <t>CA</t>
        </is>
      </c>
      <c r="B16" t="inlineStr">
        <is>
          <t>Small group</t>
        </is>
      </c>
      <c r="C16" t="n">
        <v>23</v>
      </c>
      <c r="D16" s="2" t="n">
        <v>38049918629.63853</v>
      </c>
      <c r="E16" s="2" t="n">
        <v>43070488654.78241</v>
      </c>
      <c r="F16" s="4">
        <f>IFERROR(D16/E16,"")</f>
        <v/>
      </c>
      <c r="G16" s="2" t="n">
        <v>15226789919.98611</v>
      </c>
      <c r="H16" s="2" t="n">
        <v>24424495.3405</v>
      </c>
      <c r="I16" t="n">
        <v>2</v>
      </c>
    </row>
    <row r="17">
      <c r="A17" t="inlineStr">
        <is>
          <t>CO</t>
        </is>
      </c>
      <c r="B17" t="inlineStr">
        <is>
          <t>Individual</t>
        </is>
      </c>
      <c r="C17" t="n">
        <v>13</v>
      </c>
      <c r="D17" s="2" t="n">
        <v>2827482723.40736</v>
      </c>
      <c r="E17" s="2" t="n">
        <v>3274496930.461234</v>
      </c>
      <c r="F17" s="4">
        <f>IFERROR(D17/E17,"")</f>
        <v/>
      </c>
      <c r="G17" s="2" t="n">
        <v>1414866578.942</v>
      </c>
      <c r="H17" s="2" t="n">
        <v>6908724.586296006</v>
      </c>
      <c r="I17" t="n">
        <v>1</v>
      </c>
    </row>
    <row r="18">
      <c r="A18" t="inlineStr">
        <is>
          <t>CO</t>
        </is>
      </c>
      <c r="B18" t="inlineStr">
        <is>
          <t>Large group</t>
        </is>
      </c>
      <c r="C18" t="n">
        <v>16</v>
      </c>
      <c r="D18" s="2" t="n">
        <v>10182918008.77467</v>
      </c>
      <c r="E18" s="2" t="n">
        <v>11096719256.2516</v>
      </c>
      <c r="F18" s="4">
        <f>IFERROR(D18/E18,"")</f>
        <v/>
      </c>
      <c r="G18" s="2" t="n">
        <v>3855853486.74</v>
      </c>
      <c r="H18" s="2" t="n">
        <v>154819.7038806001</v>
      </c>
      <c r="I18" t="n">
        <v>1</v>
      </c>
    </row>
    <row r="19">
      <c r="A19" t="inlineStr">
        <is>
          <t>CO</t>
        </is>
      </c>
      <c r="B19" t="inlineStr">
        <is>
          <t>Small group</t>
        </is>
      </c>
      <c r="C19" t="n">
        <v>12</v>
      </c>
      <c r="D19" s="2" t="n">
        <v>3392355287.773</v>
      </c>
      <c r="E19" s="2" t="n">
        <v>4066877477.04103</v>
      </c>
      <c r="F19" s="4">
        <f>IFERROR(D19/E19,"")</f>
        <v/>
      </c>
      <c r="G19" s="2" t="n">
        <v>1427809285.708</v>
      </c>
      <c r="H19" s="2" t="n">
        <v>0</v>
      </c>
      <c r="I19" t="n">
        <v>0</v>
      </c>
    </row>
    <row r="20">
      <c r="A20" t="inlineStr">
        <is>
          <t>CT</t>
        </is>
      </c>
      <c r="B20" t="inlineStr">
        <is>
          <t>Individual</t>
        </is>
      </c>
      <c r="C20" t="n">
        <v>10</v>
      </c>
      <c r="D20" s="2" t="n">
        <v>2625464217.224886</v>
      </c>
      <c r="E20" s="2" t="n">
        <v>3026132385.87172</v>
      </c>
      <c r="F20" s="4">
        <f>IFERROR(D20/E20,"")</f>
        <v/>
      </c>
      <c r="G20" s="2" t="n">
        <v>1183658092.965342</v>
      </c>
      <c r="H20" s="2" t="n">
        <v>0</v>
      </c>
      <c r="I20" t="n">
        <v>0</v>
      </c>
    </row>
    <row r="21">
      <c r="A21" t="inlineStr">
        <is>
          <t>CT</t>
        </is>
      </c>
      <c r="B21" t="inlineStr">
        <is>
          <t>Large group</t>
        </is>
      </c>
      <c r="C21" t="n">
        <v>12</v>
      </c>
      <c r="D21" s="2" t="n">
        <v>6206101250.047504</v>
      </c>
      <c r="E21" s="2" t="n">
        <v>6690410914.692669</v>
      </c>
      <c r="F21" s="4">
        <f>IFERROR(D21/E21,"")</f>
        <v/>
      </c>
      <c r="G21" s="2" t="n">
        <v>2395614406.818333</v>
      </c>
      <c r="H21" s="2" t="n">
        <v>0</v>
      </c>
      <c r="I21" t="n">
        <v>0</v>
      </c>
    </row>
    <row r="22">
      <c r="A22" t="inlineStr">
        <is>
          <t>CT</t>
        </is>
      </c>
      <c r="B22" t="inlineStr">
        <is>
          <t>Small group</t>
        </is>
      </c>
      <c r="C22" t="n">
        <v>11</v>
      </c>
      <c r="D22" s="2" t="n">
        <v>1966319091.777422</v>
      </c>
      <c r="E22" s="2" t="n">
        <v>2286067568.095499</v>
      </c>
      <c r="F22" s="4">
        <f>IFERROR(D22/E22,"")</f>
        <v/>
      </c>
      <c r="G22" s="2" t="n">
        <v>774949943.1730309</v>
      </c>
      <c r="H22" s="2" t="n">
        <v>4356417.712710004</v>
      </c>
      <c r="I22" t="n">
        <v>1</v>
      </c>
    </row>
    <row r="23">
      <c r="A23" t="inlineStr">
        <is>
          <t>DC</t>
        </is>
      </c>
      <c r="B23" t="inlineStr">
        <is>
          <t>Individual</t>
        </is>
      </c>
      <c r="C23" t="n">
        <v>10</v>
      </c>
      <c r="D23" s="2" t="n">
        <v>1891420153.71</v>
      </c>
      <c r="E23" s="2" t="n">
        <v>2099765262.85249</v>
      </c>
      <c r="F23" s="4">
        <f>IFERROR(D23/E23,"")</f>
        <v/>
      </c>
      <c r="G23" s="2" t="n">
        <v>111318150.1</v>
      </c>
      <c r="H23" s="2" t="n">
        <v>0</v>
      </c>
      <c r="I23" t="n">
        <v>0</v>
      </c>
    </row>
    <row r="24">
      <c r="A24" t="inlineStr">
        <is>
          <t>DC</t>
        </is>
      </c>
      <c r="B24" t="inlineStr">
        <is>
          <t>Large group</t>
        </is>
      </c>
      <c r="C24" t="n">
        <v>15</v>
      </c>
      <c r="D24" s="2" t="n">
        <v>11105703716.95868</v>
      </c>
      <c r="E24" s="2" t="n">
        <v>12541173655.93417</v>
      </c>
      <c r="F24" s="4">
        <f>IFERROR(D24/E24,"")</f>
        <v/>
      </c>
      <c r="G24" s="2" t="n">
        <v>4461144465.620702</v>
      </c>
      <c r="H24" s="2" t="n">
        <v>627730.9983755527</v>
      </c>
      <c r="I24" t="n">
        <v>1</v>
      </c>
    </row>
    <row r="25">
      <c r="A25" t="inlineStr">
        <is>
          <t>DC</t>
        </is>
      </c>
      <c r="B25" t="inlineStr">
        <is>
          <t>Small group</t>
        </is>
      </c>
      <c r="C25" t="n">
        <v>9</v>
      </c>
      <c r="D25" s="2" t="n">
        <v>1932129076.270561</v>
      </c>
      <c r="E25" s="2" t="n">
        <v>2145274134.996857</v>
      </c>
      <c r="F25" s="4">
        <f>IFERROR(D25/E25,"")</f>
        <v/>
      </c>
      <c r="G25" s="2" t="n">
        <v>682081606.9892986</v>
      </c>
      <c r="H25" s="2" t="n">
        <v>0</v>
      </c>
      <c r="I25" t="n">
        <v>0</v>
      </c>
    </row>
    <row r="26">
      <c r="A26" t="inlineStr">
        <is>
          <t>DE</t>
        </is>
      </c>
      <c r="B26" t="inlineStr">
        <is>
          <t>Individual</t>
        </is>
      </c>
      <c r="C26" t="n">
        <v>8</v>
      </c>
      <c r="D26" s="2" t="n">
        <v>677069346.510975</v>
      </c>
      <c r="E26" s="2" t="n">
        <v>779250697.4624158</v>
      </c>
      <c r="F26" s="4">
        <f>IFERROR(D26/E26,"")</f>
        <v/>
      </c>
      <c r="G26" s="2" t="n">
        <v>318280313.63</v>
      </c>
      <c r="H26" s="2" t="n">
        <v>0</v>
      </c>
      <c r="I26" t="n">
        <v>0</v>
      </c>
    </row>
    <row r="27">
      <c r="A27" t="inlineStr">
        <is>
          <t>DE</t>
        </is>
      </c>
      <c r="B27" t="inlineStr">
        <is>
          <t>Large group</t>
        </is>
      </c>
      <c r="C27" t="n">
        <v>7</v>
      </c>
      <c r="D27" s="2" t="n">
        <v>1246858458.850898</v>
      </c>
      <c r="E27" s="2" t="n">
        <v>1380055143.479306</v>
      </c>
      <c r="F27" s="4">
        <f>IFERROR(D27/E27,"")</f>
        <v/>
      </c>
      <c r="G27" s="2" t="n">
        <v>509364873.08</v>
      </c>
      <c r="H27" s="2" t="n">
        <v>49586.16700367005</v>
      </c>
      <c r="I27" t="n">
        <v>1</v>
      </c>
    </row>
    <row r="28">
      <c r="A28" t="inlineStr">
        <is>
          <t>DE</t>
        </is>
      </c>
      <c r="B28" t="inlineStr">
        <is>
          <t>Small group</t>
        </is>
      </c>
      <c r="C28" t="n">
        <v>5</v>
      </c>
      <c r="D28" s="2" t="n">
        <v>408004761.8319647</v>
      </c>
      <c r="E28" s="2" t="n">
        <v>494897675.3433409</v>
      </c>
      <c r="F28" s="4">
        <f>IFERROR(D28/E28,"")</f>
        <v/>
      </c>
      <c r="G28" s="2" t="n">
        <v>177785868.34</v>
      </c>
      <c r="H28" s="2" t="n">
        <v>312745.1543</v>
      </c>
      <c r="I28" t="n">
        <v>1</v>
      </c>
    </row>
    <row r="29">
      <c r="A29" t="inlineStr">
        <is>
          <t>FL</t>
        </is>
      </c>
      <c r="B29" t="inlineStr">
        <is>
          <t>Individual</t>
        </is>
      </c>
      <c r="C29" t="n">
        <v>24</v>
      </c>
      <c r="D29" s="2" t="n">
        <v>47832111498.12954</v>
      </c>
      <c r="E29" s="2" t="n">
        <v>55580451907.80091</v>
      </c>
      <c r="F29" s="4">
        <f>IFERROR(D29/E29,"")</f>
        <v/>
      </c>
      <c r="G29" s="2" t="n">
        <v>24750898555.8204</v>
      </c>
      <c r="H29" s="2" t="n">
        <v>124375.2300000001</v>
      </c>
      <c r="I29" t="n">
        <v>1</v>
      </c>
    </row>
    <row r="30">
      <c r="A30" t="inlineStr">
        <is>
          <t>FL</t>
        </is>
      </c>
      <c r="B30" t="inlineStr">
        <is>
          <t>Large group</t>
        </is>
      </c>
      <c r="C30" t="n">
        <v>21</v>
      </c>
      <c r="D30" s="2" t="n">
        <v>36104991582.53983</v>
      </c>
      <c r="E30" s="2" t="n">
        <v>40395557147.79205</v>
      </c>
      <c r="F30" s="4">
        <f>IFERROR(D30/E30,"")</f>
        <v/>
      </c>
      <c r="G30" s="2" t="n">
        <v>14241169764.03999</v>
      </c>
      <c r="H30" s="2" t="n">
        <v>24124049.26475434</v>
      </c>
      <c r="I30" t="n">
        <v>4</v>
      </c>
    </row>
    <row r="31">
      <c r="A31" t="inlineStr">
        <is>
          <t>FL</t>
        </is>
      </c>
      <c r="B31" t="inlineStr">
        <is>
          <t>Small group</t>
        </is>
      </c>
      <c r="C31" t="n">
        <v>16</v>
      </c>
      <c r="D31" s="2" t="n">
        <v>7354761718.332305</v>
      </c>
      <c r="E31" s="2" t="n">
        <v>8790283988.258461</v>
      </c>
      <c r="F31" s="4">
        <f>IFERROR(D31/E31,"")</f>
        <v/>
      </c>
      <c r="G31" s="2" t="n">
        <v>3099378534.79</v>
      </c>
      <c r="H31" s="2" t="n">
        <v>18630056.34418493</v>
      </c>
      <c r="I31" t="n">
        <v>2</v>
      </c>
    </row>
    <row r="32">
      <c r="A32" t="inlineStr">
        <is>
          <t>GA</t>
        </is>
      </c>
      <c r="B32" t="inlineStr">
        <is>
          <t>Individual</t>
        </is>
      </c>
      <c r="C32" t="n">
        <v>16</v>
      </c>
      <c r="D32" s="2" t="n">
        <v>11443215927.07889</v>
      </c>
      <c r="E32" s="2" t="n">
        <v>13031675782.83699</v>
      </c>
      <c r="F32" s="4">
        <f>IFERROR(D32/E32,"")</f>
        <v/>
      </c>
      <c r="G32" s="2" t="n">
        <v>5792593717.770273</v>
      </c>
      <c r="H32" s="2" t="n">
        <v>17539880.72830147</v>
      </c>
      <c r="I32" t="n">
        <v>1</v>
      </c>
    </row>
    <row r="33">
      <c r="A33" t="inlineStr">
        <is>
          <t>GA</t>
        </is>
      </c>
      <c r="B33" t="inlineStr">
        <is>
          <t>Large group</t>
        </is>
      </c>
      <c r="C33" t="n">
        <v>17</v>
      </c>
      <c r="D33" s="2" t="n">
        <v>17047595179.56884</v>
      </c>
      <c r="E33" s="2" t="n">
        <v>18241741054.32822</v>
      </c>
      <c r="F33" s="4">
        <f>IFERROR(D33/E33,"")</f>
        <v/>
      </c>
      <c r="G33" s="2" t="n">
        <v>6110303654.379801</v>
      </c>
      <c r="H33" s="2" t="n">
        <v>372851.3036689783</v>
      </c>
      <c r="I33" t="n">
        <v>2</v>
      </c>
    </row>
    <row r="34">
      <c r="A34" t="inlineStr">
        <is>
          <t>GA</t>
        </is>
      </c>
      <c r="B34" t="inlineStr">
        <is>
          <t>Small group</t>
        </is>
      </c>
      <c r="C34" t="n">
        <v>12</v>
      </c>
      <c r="D34" s="2" t="n">
        <v>2068184865.735</v>
      </c>
      <c r="E34" s="2" t="n">
        <v>2436061564.26341</v>
      </c>
      <c r="F34" s="4">
        <f>IFERROR(D34/E34,"")</f>
        <v/>
      </c>
      <c r="G34" s="2" t="n">
        <v>739149840.92</v>
      </c>
      <c r="H34" s="2" t="n">
        <v>8320264.617060006</v>
      </c>
      <c r="I34" t="n">
        <v>1</v>
      </c>
    </row>
    <row r="35">
      <c r="A35" t="inlineStr">
        <is>
          <t>HI</t>
        </is>
      </c>
      <c r="B35" t="inlineStr">
        <is>
          <t>Individual</t>
        </is>
      </c>
      <c r="C35" t="n">
        <v>5</v>
      </c>
      <c r="D35" s="2" t="n">
        <v>616519335.597785</v>
      </c>
      <c r="E35" s="2" t="n">
        <v>686552974.131729</v>
      </c>
      <c r="F35" s="4">
        <f>IFERROR(D35/E35,"")</f>
        <v/>
      </c>
      <c r="G35" s="2" t="n">
        <v>233219405</v>
      </c>
      <c r="H35" s="2" t="n">
        <v>0</v>
      </c>
      <c r="I35" t="n">
        <v>0</v>
      </c>
    </row>
    <row r="36">
      <c r="A36" t="inlineStr">
        <is>
          <t>HI</t>
        </is>
      </c>
      <c r="B36" t="inlineStr">
        <is>
          <t>Large group</t>
        </is>
      </c>
      <c r="C36" t="n">
        <v>6</v>
      </c>
      <c r="D36" s="2" t="n">
        <v>8319966747.725821</v>
      </c>
      <c r="E36" s="2" t="n">
        <v>9284134674.132574</v>
      </c>
      <c r="F36" s="4">
        <f>IFERROR(D36/E36,"")</f>
        <v/>
      </c>
      <c r="G36" s="2" t="n">
        <v>3273537963.64</v>
      </c>
      <c r="H36" s="2" t="n">
        <v>2709400.0072</v>
      </c>
      <c r="I36" t="n">
        <v>1</v>
      </c>
    </row>
    <row r="37">
      <c r="A37" t="inlineStr">
        <is>
          <t>HI</t>
        </is>
      </c>
      <c r="B37" t="inlineStr">
        <is>
          <t>Small group</t>
        </is>
      </c>
      <c r="C37" t="n">
        <v>5</v>
      </c>
      <c r="D37" s="2" t="n">
        <v>1755782499.625522</v>
      </c>
      <c r="E37" s="2" t="n">
        <v>1941429460.031238</v>
      </c>
      <c r="F37" s="4">
        <f>IFERROR(D37/E37,"")</f>
        <v/>
      </c>
      <c r="G37" s="2" t="n">
        <v>648995976.47</v>
      </c>
      <c r="H37" s="2" t="n">
        <v>0</v>
      </c>
      <c r="I37" t="n">
        <v>0</v>
      </c>
    </row>
    <row r="38">
      <c r="A38" t="inlineStr">
        <is>
          <t>IA</t>
        </is>
      </c>
      <c r="B38" t="inlineStr">
        <is>
          <t>Individual</t>
        </is>
      </c>
      <c r="C38" t="n">
        <v>7</v>
      </c>
      <c r="D38" s="2" t="n">
        <v>1831806764.895218</v>
      </c>
      <c r="E38" s="2" t="n">
        <v>2143068047.172439</v>
      </c>
      <c r="F38" s="4">
        <f>IFERROR(D38/E38,"")</f>
        <v/>
      </c>
      <c r="G38" s="2" t="n">
        <v>860828111.1700001</v>
      </c>
      <c r="H38" s="2" t="n">
        <v>6068930.049020005</v>
      </c>
      <c r="I38" t="n">
        <v>1</v>
      </c>
    </row>
    <row r="39">
      <c r="A39" t="inlineStr">
        <is>
          <t>IA</t>
        </is>
      </c>
      <c r="B39" t="inlineStr">
        <is>
          <t>Large group</t>
        </is>
      </c>
      <c r="C39" t="n">
        <v>15</v>
      </c>
      <c r="D39" s="2" t="n">
        <v>4732355047.055739</v>
      </c>
      <c r="E39" s="2" t="n">
        <v>5264911354.215778</v>
      </c>
      <c r="F39" s="4">
        <f>IFERROR(D39/E39,"")</f>
        <v/>
      </c>
      <c r="G39" s="2" t="n">
        <v>1805060653.36214</v>
      </c>
      <c r="H39" s="2" t="n">
        <v>2476970.1182</v>
      </c>
      <c r="I39" t="n">
        <v>1</v>
      </c>
    </row>
    <row r="40">
      <c r="A40" t="inlineStr">
        <is>
          <t>IA</t>
        </is>
      </c>
      <c r="B40" t="inlineStr">
        <is>
          <t>Small group</t>
        </is>
      </c>
      <c r="C40" t="n">
        <v>13</v>
      </c>
      <c r="D40" s="2" t="n">
        <v>1924842914.75123</v>
      </c>
      <c r="E40" s="2" t="n">
        <v>2290365381.989409</v>
      </c>
      <c r="F40" s="4">
        <f>IFERROR(D40/E40,"")</f>
        <v/>
      </c>
      <c r="G40" s="2" t="n">
        <v>787580385.8178598</v>
      </c>
      <c r="H40" s="2" t="n">
        <v>1000455.1278</v>
      </c>
      <c r="I40" t="n">
        <v>1</v>
      </c>
    </row>
    <row r="41">
      <c r="A41" t="inlineStr">
        <is>
          <t>ID</t>
        </is>
      </c>
      <c r="B41" t="inlineStr">
        <is>
          <t>Individual</t>
        </is>
      </c>
      <c r="C41" t="n">
        <v>11</v>
      </c>
      <c r="D41" s="2" t="n">
        <v>1259748037.717598</v>
      </c>
      <c r="E41" s="2" t="n">
        <v>1498145314.79522</v>
      </c>
      <c r="F41" s="4">
        <f>IFERROR(D41/E41,"")</f>
        <v/>
      </c>
      <c r="G41" s="2" t="n">
        <v>555489355.6769439</v>
      </c>
      <c r="H41" s="2" t="n">
        <v>2441279.452181055</v>
      </c>
      <c r="I41" t="n">
        <v>1</v>
      </c>
    </row>
    <row r="42">
      <c r="A42" t="inlineStr">
        <is>
          <t>ID</t>
        </is>
      </c>
      <c r="B42" t="inlineStr">
        <is>
          <t>Large group</t>
        </is>
      </c>
      <c r="C42" t="n">
        <v>10</v>
      </c>
      <c r="D42" s="2" t="n">
        <v>3170732835.051247</v>
      </c>
      <c r="E42" s="2" t="n">
        <v>3475776340.602752</v>
      </c>
      <c r="F42" s="4">
        <f>IFERROR(D42/E42,"")</f>
        <v/>
      </c>
      <c r="G42" s="2" t="n">
        <v>1298309320.15</v>
      </c>
      <c r="H42" s="2" t="n">
        <v>31403.33063999999</v>
      </c>
      <c r="I42" t="n">
        <v>1</v>
      </c>
    </row>
    <row r="43">
      <c r="A43" t="inlineStr">
        <is>
          <t>ID</t>
        </is>
      </c>
      <c r="B43" t="inlineStr">
        <is>
          <t>Small group</t>
        </is>
      </c>
      <c r="C43" t="n">
        <v>10</v>
      </c>
      <c r="D43" s="2" t="n">
        <v>1269229232.023154</v>
      </c>
      <c r="E43" s="2" t="n">
        <v>1454772751.603393</v>
      </c>
      <c r="F43" s="4">
        <f>IFERROR(D43/E43,"")</f>
        <v/>
      </c>
      <c r="G43" s="2" t="n">
        <v>523938317.977374</v>
      </c>
      <c r="H43" s="2" t="n">
        <v>0</v>
      </c>
      <c r="I43" t="n">
        <v>0</v>
      </c>
    </row>
    <row r="44">
      <c r="A44" t="inlineStr">
        <is>
          <t>IL</t>
        </is>
      </c>
      <c r="B44" t="inlineStr">
        <is>
          <t>Individual</t>
        </is>
      </c>
      <c r="C44" t="n">
        <v>15</v>
      </c>
      <c r="D44" s="2" t="n">
        <v>7422229814.344457</v>
      </c>
      <c r="E44" s="2" t="n">
        <v>8191629552.596123</v>
      </c>
      <c r="F44" s="4">
        <f>IFERROR(D44/E44,"")</f>
        <v/>
      </c>
      <c r="G44" s="2" t="n">
        <v>3036238531.227278</v>
      </c>
      <c r="H44" s="2" t="n">
        <v>1194566.3598</v>
      </c>
      <c r="I44" t="n">
        <v>1</v>
      </c>
    </row>
    <row r="45">
      <c r="A45" t="inlineStr">
        <is>
          <t>IL</t>
        </is>
      </c>
      <c r="B45" t="inlineStr">
        <is>
          <t>Large group</t>
        </is>
      </c>
      <c r="C45" t="n">
        <v>24</v>
      </c>
      <c r="D45" s="2" t="n">
        <v>30535856354.43233</v>
      </c>
      <c r="E45" s="2" t="n">
        <v>32263298431.06794</v>
      </c>
      <c r="F45" s="4">
        <f>IFERROR(D45/E45,"")</f>
        <v/>
      </c>
      <c r="G45" s="2" t="n">
        <v>11182285965.80441</v>
      </c>
      <c r="H45" s="2" t="n">
        <v>2659848.354137201</v>
      </c>
      <c r="I45" t="n">
        <v>4</v>
      </c>
    </row>
    <row r="46">
      <c r="A46" t="inlineStr">
        <is>
          <t>IL</t>
        </is>
      </c>
      <c r="B46" t="inlineStr">
        <is>
          <t>Small group</t>
        </is>
      </c>
      <c r="C46" t="n">
        <v>16</v>
      </c>
      <c r="D46" s="2" t="n">
        <v>9019304012.145927</v>
      </c>
      <c r="E46" s="2" t="n">
        <v>10354458387.22839</v>
      </c>
      <c r="F46" s="4">
        <f>IFERROR(D46/E46,"")</f>
        <v/>
      </c>
      <c r="G46" s="2" t="n">
        <v>3579085359.064085</v>
      </c>
      <c r="H46" s="2" t="n">
        <v>0</v>
      </c>
      <c r="I46" t="n">
        <v>0</v>
      </c>
    </row>
    <row r="47">
      <c r="A47" t="inlineStr">
        <is>
          <t>IN</t>
        </is>
      </c>
      <c r="B47" t="inlineStr">
        <is>
          <t>Individual</t>
        </is>
      </c>
      <c r="C47" t="n">
        <v>10</v>
      </c>
      <c r="D47" s="2" t="n">
        <v>2468936192.435346</v>
      </c>
      <c r="E47" s="2" t="n">
        <v>3135499271.893519</v>
      </c>
      <c r="F47" s="4">
        <f>IFERROR(D47/E47,"")</f>
        <v/>
      </c>
      <c r="G47" s="2" t="n">
        <v>1308445780.08919</v>
      </c>
      <c r="H47" s="2" t="n">
        <v>37650157.65224887</v>
      </c>
      <c r="I47" t="n">
        <v>1</v>
      </c>
    </row>
    <row r="48">
      <c r="A48" t="inlineStr">
        <is>
          <t>IN</t>
        </is>
      </c>
      <c r="B48" t="inlineStr">
        <is>
          <t>Large group</t>
        </is>
      </c>
      <c r="C48" t="n">
        <v>16</v>
      </c>
      <c r="D48" s="2" t="n">
        <v>5808009390.82017</v>
      </c>
      <c r="E48" s="2" t="n">
        <v>6561735585.014534</v>
      </c>
      <c r="F48" s="4">
        <f>IFERROR(D48/E48,"")</f>
        <v/>
      </c>
      <c r="G48" s="2" t="n">
        <v>2289621842.193488</v>
      </c>
      <c r="H48" s="2" t="n">
        <v>376024.0631</v>
      </c>
      <c r="I48" t="n">
        <v>1</v>
      </c>
    </row>
    <row r="49">
      <c r="A49" t="inlineStr">
        <is>
          <t>IN</t>
        </is>
      </c>
      <c r="B49" t="inlineStr">
        <is>
          <t>Small group</t>
        </is>
      </c>
      <c r="C49" t="n">
        <v>14</v>
      </c>
      <c r="D49" s="2" t="n">
        <v>1930913838.502</v>
      </c>
      <c r="E49" s="2" t="n">
        <v>2425455986.692914</v>
      </c>
      <c r="F49" s="4">
        <f>IFERROR(D49/E49,"")</f>
        <v/>
      </c>
      <c r="G49" s="2" t="n">
        <v>779620239.7338214</v>
      </c>
      <c r="H49" s="2" t="n">
        <v>12527970.51546001</v>
      </c>
      <c r="I49" t="n">
        <v>1</v>
      </c>
    </row>
    <row r="50">
      <c r="A50" t="inlineStr">
        <is>
          <t>KS</t>
        </is>
      </c>
      <c r="B50" t="inlineStr">
        <is>
          <t>Individual</t>
        </is>
      </c>
      <c r="C50" t="n">
        <v>14</v>
      </c>
      <c r="D50" s="2" t="n">
        <v>2319662580.218157</v>
      </c>
      <c r="E50" s="2" t="n">
        <v>2630887744.278329</v>
      </c>
      <c r="F50" s="4">
        <f>IFERROR(D50/E50,"")</f>
        <v/>
      </c>
      <c r="G50" s="2" t="n">
        <v>1061059957.173367</v>
      </c>
      <c r="H50" s="2" t="n">
        <v>12993392.34194858</v>
      </c>
      <c r="I50" t="n">
        <v>1</v>
      </c>
    </row>
    <row r="51">
      <c r="A51" t="inlineStr">
        <is>
          <t>KS</t>
        </is>
      </c>
      <c r="B51" t="inlineStr">
        <is>
          <t>Large group</t>
        </is>
      </c>
      <c r="C51" t="n">
        <v>12</v>
      </c>
      <c r="D51" s="2" t="n">
        <v>5629525543.10525</v>
      </c>
      <c r="E51" s="2" t="n">
        <v>6417830096.592701</v>
      </c>
      <c r="F51" s="4">
        <f>IFERROR(D51/E51,"")</f>
        <v/>
      </c>
      <c r="G51" s="2" t="n">
        <v>2147768223.926134</v>
      </c>
      <c r="H51" s="2" t="n">
        <v>695224.82188782</v>
      </c>
      <c r="I51" t="n">
        <v>1</v>
      </c>
    </row>
    <row r="52">
      <c r="A52" t="inlineStr">
        <is>
          <t>KS</t>
        </is>
      </c>
      <c r="B52" t="inlineStr">
        <is>
          <t>Small group</t>
        </is>
      </c>
      <c r="C52" t="n">
        <v>8</v>
      </c>
      <c r="D52" s="2" t="n">
        <v>1684397239.333976</v>
      </c>
      <c r="E52" s="2" t="n">
        <v>1804717373.597399</v>
      </c>
      <c r="F52" s="4">
        <f>IFERROR(D52/E52,"")</f>
        <v/>
      </c>
      <c r="G52" s="2" t="n">
        <v>589694694.08</v>
      </c>
      <c r="H52" s="2" t="n">
        <v>5578811.129792251</v>
      </c>
      <c r="I52" t="n">
        <v>2</v>
      </c>
    </row>
    <row r="53">
      <c r="A53" t="inlineStr">
        <is>
          <t>KY</t>
        </is>
      </c>
      <c r="B53" t="inlineStr">
        <is>
          <t>Individual</t>
        </is>
      </c>
      <c r="C53" t="n">
        <v>15</v>
      </c>
      <c r="D53" s="2" t="n">
        <v>1340913787.89434</v>
      </c>
      <c r="E53" s="2" t="n">
        <v>1656147309.389208</v>
      </c>
      <c r="F53" s="4">
        <f>IFERROR(D53/E53,"")</f>
        <v/>
      </c>
      <c r="G53" s="2" t="n">
        <v>521776928.780167</v>
      </c>
      <c r="H53" s="2" t="n">
        <v>9097794.119613899</v>
      </c>
      <c r="I53" t="n">
        <v>2</v>
      </c>
    </row>
    <row r="54">
      <c r="A54" t="inlineStr">
        <is>
          <t>KY</t>
        </is>
      </c>
      <c r="B54" t="inlineStr">
        <is>
          <t>Large group</t>
        </is>
      </c>
      <c r="C54" t="n">
        <v>12</v>
      </c>
      <c r="D54" s="2" t="n">
        <v>5198220432.23422</v>
      </c>
      <c r="E54" s="2" t="n">
        <v>5903531913.208648</v>
      </c>
      <c r="F54" s="4">
        <f>IFERROR(D54/E54,"")</f>
        <v/>
      </c>
      <c r="G54" s="2" t="n">
        <v>2084038214.0176</v>
      </c>
      <c r="H54" s="2" t="n">
        <v>467611.0302946499</v>
      </c>
      <c r="I54" t="n">
        <v>1</v>
      </c>
    </row>
    <row r="55">
      <c r="A55" t="inlineStr">
        <is>
          <t>KY</t>
        </is>
      </c>
      <c r="B55" t="inlineStr">
        <is>
          <t>Small group</t>
        </is>
      </c>
      <c r="C55" t="n">
        <v>8</v>
      </c>
      <c r="D55" s="2" t="n">
        <v>706831758.043</v>
      </c>
      <c r="E55" s="2" t="n">
        <v>899327321.35673</v>
      </c>
      <c r="F55" s="4">
        <f>IFERROR(D55/E55,"")</f>
        <v/>
      </c>
      <c r="G55" s="2" t="n">
        <v>280334193.9</v>
      </c>
      <c r="H55" s="2" t="n">
        <v>8195181.019650007</v>
      </c>
      <c r="I55" t="n">
        <v>1</v>
      </c>
    </row>
    <row r="56">
      <c r="A56" t="inlineStr">
        <is>
          <t>LA</t>
        </is>
      </c>
      <c r="B56" t="inlineStr">
        <is>
          <t>Individual</t>
        </is>
      </c>
      <c r="C56" t="n">
        <v>12</v>
      </c>
      <c r="D56" s="2" t="n">
        <v>2463040457.95217</v>
      </c>
      <c r="E56" s="2" t="n">
        <v>3165396138.926113</v>
      </c>
      <c r="F56" s="4">
        <f>IFERROR(D56/E56,"")</f>
        <v/>
      </c>
      <c r="G56" s="2" t="n">
        <v>1327724988.433045</v>
      </c>
      <c r="H56" s="2" t="n">
        <v>31691420.86698316</v>
      </c>
      <c r="I56" t="n">
        <v>3</v>
      </c>
    </row>
    <row r="57">
      <c r="A57" t="inlineStr">
        <is>
          <t>LA</t>
        </is>
      </c>
      <c r="B57" t="inlineStr">
        <is>
          <t>Large group</t>
        </is>
      </c>
      <c r="C57" t="n">
        <v>12</v>
      </c>
      <c r="D57" s="2" t="n">
        <v>6239756720.755213</v>
      </c>
      <c r="E57" s="2" t="n">
        <v>7099384485.24466</v>
      </c>
      <c r="F57" s="4">
        <f>IFERROR(D57/E57,"")</f>
        <v/>
      </c>
      <c r="G57" s="2" t="n">
        <v>2440719752.21</v>
      </c>
      <c r="H57" s="2" t="n">
        <v>2736746.113341573</v>
      </c>
      <c r="I57" t="n">
        <v>4</v>
      </c>
    </row>
    <row r="58">
      <c r="A58" t="inlineStr">
        <is>
          <t>LA</t>
        </is>
      </c>
      <c r="B58" t="inlineStr">
        <is>
          <t>Small group</t>
        </is>
      </c>
      <c r="C58" t="n">
        <v>9</v>
      </c>
      <c r="D58" s="2" t="n">
        <v>2709711376.318952</v>
      </c>
      <c r="E58" s="2" t="n">
        <v>3265833817.82348</v>
      </c>
      <c r="F58" s="4">
        <f>IFERROR(D58/E58,"")</f>
        <v/>
      </c>
      <c r="G58" s="2" t="n">
        <v>1123044431.95</v>
      </c>
      <c r="H58" s="2" t="n">
        <v>1247966.7207</v>
      </c>
      <c r="I58" t="n">
        <v>1</v>
      </c>
    </row>
    <row r="59">
      <c r="A59" t="inlineStr">
        <is>
          <t>MA</t>
        </is>
      </c>
      <c r="B59" t="inlineStr">
        <is>
          <t>Individual</t>
        </is>
      </c>
      <c r="C59" t="n">
        <v>16</v>
      </c>
      <c r="D59" s="2" t="n">
        <v>11055186855.19077</v>
      </c>
      <c r="E59" s="2" t="n">
        <v>13513442284.51971</v>
      </c>
      <c r="F59" s="4">
        <f>IFERROR(D59/E59,"")</f>
        <v/>
      </c>
      <c r="G59" s="2" t="n">
        <v>1748433246.674421</v>
      </c>
      <c r="H59" s="2" t="n">
        <v>10888612.80025667</v>
      </c>
      <c r="I59" t="n">
        <v>5</v>
      </c>
    </row>
    <row r="60">
      <c r="A60" t="inlineStr">
        <is>
          <t>MA</t>
        </is>
      </c>
      <c r="B60" t="inlineStr">
        <is>
          <t>Large group</t>
        </is>
      </c>
      <c r="C60" t="n">
        <v>17</v>
      </c>
      <c r="D60" s="2" t="n">
        <v>21739262375.08185</v>
      </c>
      <c r="E60" s="2" t="n">
        <v>24174124325.38536</v>
      </c>
      <c r="F60" s="4">
        <f>IFERROR(D60/E60,"")</f>
        <v/>
      </c>
      <c r="G60" s="2" t="n">
        <v>8524585938.382235</v>
      </c>
      <c r="H60" s="2" t="n">
        <v>0</v>
      </c>
      <c r="I60" t="n">
        <v>0</v>
      </c>
    </row>
    <row r="61">
      <c r="A61" t="inlineStr">
        <is>
          <t>MA</t>
        </is>
      </c>
      <c r="B61" t="inlineStr">
        <is>
          <t>Small group</t>
        </is>
      </c>
      <c r="C61" t="n">
        <v>14</v>
      </c>
      <c r="D61" s="2" t="n">
        <v>11057162367.96172</v>
      </c>
      <c r="E61" s="2" t="n">
        <v>13516006141.90771</v>
      </c>
      <c r="F61" s="4">
        <f>IFERROR(D61/E61,"")</f>
        <v/>
      </c>
      <c r="G61" s="2" t="n">
        <v>2856767848.961854</v>
      </c>
      <c r="H61" s="2" t="n">
        <v>40710876.4312546</v>
      </c>
      <c r="I61" t="n">
        <v>4</v>
      </c>
    </row>
    <row r="62">
      <c r="A62" t="inlineStr">
        <is>
          <t>MD</t>
        </is>
      </c>
      <c r="B62" t="inlineStr">
        <is>
          <t>Individual</t>
        </is>
      </c>
      <c r="C62" t="n">
        <v>15</v>
      </c>
      <c r="D62" s="2" t="n">
        <v>3198756952.87178</v>
      </c>
      <c r="E62" s="2" t="n">
        <v>3691356301.54207</v>
      </c>
      <c r="F62" s="4">
        <f>IFERROR(D62/E62,"")</f>
        <v/>
      </c>
      <c r="G62" s="2" t="n">
        <v>1346464808.14</v>
      </c>
      <c r="H62" s="2" t="n">
        <v>11197865.91524</v>
      </c>
      <c r="I62" t="n">
        <v>3</v>
      </c>
    </row>
    <row r="63">
      <c r="A63" t="inlineStr">
        <is>
          <t>MD</t>
        </is>
      </c>
      <c r="B63" t="inlineStr">
        <is>
          <t>Large group</t>
        </is>
      </c>
      <c r="C63" t="n">
        <v>13</v>
      </c>
      <c r="D63" s="2" t="n">
        <v>18398775303.92</v>
      </c>
      <c r="E63" s="2" t="n">
        <v>20382368992.06069</v>
      </c>
      <c r="F63" s="4">
        <f>IFERROR(D63/E63,"")</f>
        <v/>
      </c>
      <c r="G63" s="2" t="n">
        <v>7302749720.18</v>
      </c>
      <c r="H63" s="2" t="n">
        <v>4988571.481099637</v>
      </c>
      <c r="I63" t="n">
        <v>4</v>
      </c>
    </row>
    <row r="64">
      <c r="A64" t="inlineStr">
        <is>
          <t>MD</t>
        </is>
      </c>
      <c r="B64" t="inlineStr">
        <is>
          <t>Small group</t>
        </is>
      </c>
      <c r="C64" t="n">
        <v>10</v>
      </c>
      <c r="D64" s="2" t="n">
        <v>3661806583.670001</v>
      </c>
      <c r="E64" s="2" t="n">
        <v>4472855544.34617</v>
      </c>
      <c r="F64" s="4">
        <f>IFERROR(D64/E64,"")</f>
        <v/>
      </c>
      <c r="G64" s="2" t="n">
        <v>1598622670.89</v>
      </c>
      <c r="H64" s="2" t="n">
        <v>3188944.420770003</v>
      </c>
      <c r="I64" t="n">
        <v>2</v>
      </c>
    </row>
    <row r="65">
      <c r="A65" t="inlineStr">
        <is>
          <t>ME</t>
        </is>
      </c>
      <c r="B65" t="inlineStr">
        <is>
          <t>Individual</t>
        </is>
      </c>
      <c r="C65" t="n">
        <v>10</v>
      </c>
      <c r="D65" s="2" t="n">
        <v>1915048146.407825</v>
      </c>
      <c r="E65" s="2" t="n">
        <v>2180802581.263006</v>
      </c>
      <c r="F65" s="4">
        <f>IFERROR(D65/E65,"")</f>
        <v/>
      </c>
      <c r="G65" s="2" t="n">
        <v>487179674.8828367</v>
      </c>
      <c r="H65" s="2" t="n">
        <v>0</v>
      </c>
      <c r="I65" t="n">
        <v>0</v>
      </c>
    </row>
    <row r="66">
      <c r="A66" t="inlineStr">
        <is>
          <t>ME</t>
        </is>
      </c>
      <c r="B66" t="inlineStr">
        <is>
          <t>Large group</t>
        </is>
      </c>
      <c r="C66" t="n">
        <v>10</v>
      </c>
      <c r="D66" s="2" t="n">
        <v>3533786978.406591</v>
      </c>
      <c r="E66" s="2" t="n">
        <v>3844598230.849261</v>
      </c>
      <c r="F66" s="4">
        <f>IFERROR(D66/E66,"")</f>
        <v/>
      </c>
      <c r="G66" s="2" t="n">
        <v>1338605128.573929</v>
      </c>
      <c r="H66" s="2" t="n">
        <v>0</v>
      </c>
      <c r="I66" t="n">
        <v>0</v>
      </c>
    </row>
    <row r="67">
      <c r="A67" t="inlineStr">
        <is>
          <t>ME</t>
        </is>
      </c>
      <c r="B67" t="inlineStr">
        <is>
          <t>Small group</t>
        </is>
      </c>
      <c r="C67" t="n">
        <v>9</v>
      </c>
      <c r="D67" s="2" t="n">
        <v>1918418270.450051</v>
      </c>
      <c r="E67" s="2" t="n">
        <v>2184859645.198296</v>
      </c>
      <c r="F67" s="4">
        <f>IFERROR(D67/E67,"")</f>
        <v/>
      </c>
      <c r="G67" s="2" t="n">
        <v>322285748.7952344</v>
      </c>
      <c r="H67" s="2" t="n">
        <v>0</v>
      </c>
      <c r="I67" t="n">
        <v>0</v>
      </c>
    </row>
    <row r="68">
      <c r="A68" t="inlineStr">
        <is>
          <t>MI</t>
        </is>
      </c>
      <c r="B68" t="inlineStr">
        <is>
          <t>Individual</t>
        </is>
      </c>
      <c r="C68" t="n">
        <v>18</v>
      </c>
      <c r="D68" s="2" t="n">
        <v>5242539245.09665</v>
      </c>
      <c r="E68" s="2" t="n">
        <v>6155358383.057389</v>
      </c>
      <c r="F68" s="4">
        <f>IFERROR(D68/E68,"")</f>
        <v/>
      </c>
      <c r="G68" s="2" t="n">
        <v>2314573193.256665</v>
      </c>
      <c r="H68" s="2" t="n">
        <v>13587149.4986947</v>
      </c>
      <c r="I68" t="n">
        <v>5</v>
      </c>
    </row>
    <row r="69">
      <c r="A69" t="inlineStr">
        <is>
          <t>MI</t>
        </is>
      </c>
      <c r="B69" t="inlineStr">
        <is>
          <t>Large group</t>
        </is>
      </c>
      <c r="C69" t="n">
        <v>21</v>
      </c>
      <c r="D69" s="2" t="n">
        <v>22224761067.0931</v>
      </c>
      <c r="E69" s="2" t="n">
        <v>24796418968.18663</v>
      </c>
      <c r="F69" s="4">
        <f>IFERROR(D69/E69,"")</f>
        <v/>
      </c>
      <c r="G69" s="2" t="n">
        <v>8865544508.229053</v>
      </c>
      <c r="H69" s="2" t="n">
        <v>7160.071599999998</v>
      </c>
      <c r="I69" t="n">
        <v>1</v>
      </c>
    </row>
    <row r="70">
      <c r="A70" t="inlineStr">
        <is>
          <t>MI</t>
        </is>
      </c>
      <c r="B70" t="inlineStr">
        <is>
          <t>Small group</t>
        </is>
      </c>
      <c r="C70" t="n">
        <v>17</v>
      </c>
      <c r="D70" s="2" t="n">
        <v>6321964838.898273</v>
      </c>
      <c r="E70" s="2" t="n">
        <v>7347226337.412407</v>
      </c>
      <c r="F70" s="4">
        <f>IFERROR(D70/E70,"")</f>
        <v/>
      </c>
      <c r="G70" s="2" t="n">
        <v>2575704892.10187</v>
      </c>
      <c r="H70" s="2" t="n">
        <v>0</v>
      </c>
      <c r="I70" t="n">
        <v>0</v>
      </c>
    </row>
    <row r="71">
      <c r="A71" t="inlineStr">
        <is>
          <t>MN</t>
        </is>
      </c>
      <c r="B71" t="inlineStr">
        <is>
          <t>Individual</t>
        </is>
      </c>
      <c r="C71" t="n">
        <v>16</v>
      </c>
      <c r="D71" s="2" t="n">
        <v>2114131077.813</v>
      </c>
      <c r="E71" s="2" t="n">
        <v>2330982513.061246</v>
      </c>
      <c r="F71" s="4">
        <f>IFERROR(D71/E71,"")</f>
        <v/>
      </c>
      <c r="G71" s="2" t="n">
        <v>686784809.234754</v>
      </c>
      <c r="H71" s="2" t="n">
        <v>0</v>
      </c>
      <c r="I71" t="n">
        <v>0</v>
      </c>
    </row>
    <row r="72">
      <c r="A72" t="inlineStr">
        <is>
          <t>MN</t>
        </is>
      </c>
      <c r="B72" t="inlineStr">
        <is>
          <t>Large group</t>
        </is>
      </c>
      <c r="C72" t="n">
        <v>15</v>
      </c>
      <c r="D72" s="2" t="n">
        <v>9526229197.729113</v>
      </c>
      <c r="E72" s="2" t="n">
        <v>10294024974.2997</v>
      </c>
      <c r="F72" s="4">
        <f>IFERROR(D72/E72,"")</f>
        <v/>
      </c>
      <c r="G72" s="2" t="n">
        <v>3713589541.478601</v>
      </c>
      <c r="H72" s="2" t="n">
        <v>0</v>
      </c>
      <c r="I72" t="n">
        <v>0</v>
      </c>
    </row>
    <row r="73">
      <c r="A73" t="inlineStr">
        <is>
          <t>MN</t>
        </is>
      </c>
      <c r="B73" t="inlineStr">
        <is>
          <t>Small group</t>
        </is>
      </c>
      <c r="C73" t="n">
        <v>11</v>
      </c>
      <c r="D73" s="2" t="n">
        <v>2720384167.964379</v>
      </c>
      <c r="E73" s="2" t="n">
        <v>2978792593.015445</v>
      </c>
      <c r="F73" s="4">
        <f>IFERROR(D73/E73,"")</f>
        <v/>
      </c>
      <c r="G73" s="2" t="n">
        <v>968034841.4004992</v>
      </c>
      <c r="H73" s="2" t="n">
        <v>0</v>
      </c>
      <c r="I73" t="n">
        <v>0</v>
      </c>
    </row>
    <row r="74">
      <c r="A74" t="inlineStr">
        <is>
          <t>MO</t>
        </is>
      </c>
      <c r="B74" t="inlineStr">
        <is>
          <t>Individual</t>
        </is>
      </c>
      <c r="C74" t="n">
        <v>18</v>
      </c>
      <c r="D74" s="2" t="n">
        <v>4503016246.955805</v>
      </c>
      <c r="E74" s="2" t="n">
        <v>5520460016.038985</v>
      </c>
      <c r="F74" s="4">
        <f>IFERROR(D74/E74,"")</f>
        <v/>
      </c>
      <c r="G74" s="2" t="n">
        <v>2163078151.13781</v>
      </c>
      <c r="H74" s="2" t="n">
        <v>54470097.96746431</v>
      </c>
      <c r="I74" t="n">
        <v>2</v>
      </c>
    </row>
    <row r="75">
      <c r="A75" t="inlineStr">
        <is>
          <t>MO</t>
        </is>
      </c>
      <c r="B75" t="inlineStr">
        <is>
          <t>Large group</t>
        </is>
      </c>
      <c r="C75" t="n">
        <v>14</v>
      </c>
      <c r="D75" s="2" t="n">
        <v>9276375392.108778</v>
      </c>
      <c r="E75" s="2" t="n">
        <v>10583257365.56402</v>
      </c>
      <c r="F75" s="4">
        <f>IFERROR(D75/E75,"")</f>
        <v/>
      </c>
      <c r="G75" s="2" t="n">
        <v>3640653944.097979</v>
      </c>
      <c r="H75" s="2" t="n">
        <v>1482489.53632</v>
      </c>
      <c r="I75" t="n">
        <v>2</v>
      </c>
    </row>
    <row r="76">
      <c r="A76" t="inlineStr">
        <is>
          <t>MO</t>
        </is>
      </c>
      <c r="B76" t="inlineStr">
        <is>
          <t>Small group</t>
        </is>
      </c>
      <c r="C76" t="n">
        <v>11</v>
      </c>
      <c r="D76" s="2" t="n">
        <v>1736732020.713615</v>
      </c>
      <c r="E76" s="2" t="n">
        <v>2302144284.457016</v>
      </c>
      <c r="F76" s="4">
        <f>IFERROR(D76/E76,"")</f>
        <v/>
      </c>
      <c r="G76" s="2" t="n">
        <v>730904286.2</v>
      </c>
      <c r="H76" s="2" t="n">
        <v>32825984.50158331</v>
      </c>
      <c r="I76" t="n">
        <v>5</v>
      </c>
    </row>
    <row r="77">
      <c r="A77" t="inlineStr">
        <is>
          <t>MS</t>
        </is>
      </c>
      <c r="B77" t="inlineStr">
        <is>
          <t>Individual</t>
        </is>
      </c>
      <c r="C77" t="n">
        <v>14</v>
      </c>
      <c r="D77" s="2" t="n">
        <v>2693260568.140412</v>
      </c>
      <c r="E77" s="2" t="n">
        <v>3282077220.297581</v>
      </c>
      <c r="F77" s="4">
        <f>IFERROR(D77/E77,"")</f>
        <v/>
      </c>
      <c r="G77" s="2" t="n">
        <v>1480693559.606254</v>
      </c>
      <c r="H77" s="2" t="n">
        <v>14849142.24215651</v>
      </c>
      <c r="I77" t="n">
        <v>3</v>
      </c>
    </row>
    <row r="78">
      <c r="A78" t="inlineStr">
        <is>
          <t>MS</t>
        </is>
      </c>
      <c r="B78" t="inlineStr">
        <is>
          <t>Large group</t>
        </is>
      </c>
      <c r="C78" t="n">
        <v>11</v>
      </c>
      <c r="D78" s="2" t="n">
        <v>2714152796.69</v>
      </c>
      <c r="E78" s="2" t="n">
        <v>3048290673.99112</v>
      </c>
      <c r="F78" s="4">
        <f>IFERROR(D78/E78,"")</f>
        <v/>
      </c>
      <c r="G78" s="2" t="n">
        <v>1053606555.99</v>
      </c>
      <c r="H78" s="2" t="n">
        <v>3852305.567603679</v>
      </c>
      <c r="I78" t="n">
        <v>2</v>
      </c>
    </row>
    <row r="79">
      <c r="A79" t="inlineStr">
        <is>
          <t>MS</t>
        </is>
      </c>
      <c r="B79" t="inlineStr">
        <is>
          <t>Small group</t>
        </is>
      </c>
      <c r="C79" t="n">
        <v>6</v>
      </c>
      <c r="D79" s="2" t="n">
        <v>1085053143.59</v>
      </c>
      <c r="E79" s="2" t="n">
        <v>1283856908.88</v>
      </c>
      <c r="F79" s="4">
        <f>IFERROR(D79/E79,"")</f>
        <v/>
      </c>
      <c r="G79" s="2" t="n">
        <v>444836324.57</v>
      </c>
      <c r="H79" s="2" t="n">
        <v>798507.6287</v>
      </c>
      <c r="I79" t="n">
        <v>3</v>
      </c>
    </row>
    <row r="80">
      <c r="A80" t="inlineStr">
        <is>
          <t>MT</t>
        </is>
      </c>
      <c r="B80" t="inlineStr">
        <is>
          <t>Individual</t>
        </is>
      </c>
      <c r="C80" t="n">
        <v>6</v>
      </c>
      <c r="D80" s="2" t="n">
        <v>1026710122.347221</v>
      </c>
      <c r="E80" s="2" t="n">
        <v>1128052776.616501</v>
      </c>
      <c r="F80" s="4">
        <f>IFERROR(D80/E80,"")</f>
        <v/>
      </c>
      <c r="G80" s="2" t="n">
        <v>427815655.02</v>
      </c>
      <c r="H80" s="2" t="n">
        <v>0</v>
      </c>
      <c r="I80" t="n">
        <v>0</v>
      </c>
    </row>
    <row r="81">
      <c r="A81" t="inlineStr">
        <is>
          <t>MT</t>
        </is>
      </c>
      <c r="B81" t="inlineStr">
        <is>
          <t>Large group</t>
        </is>
      </c>
      <c r="C81" t="n">
        <v>8</v>
      </c>
      <c r="D81" s="2" t="n">
        <v>1326151016.70856</v>
      </c>
      <c r="E81" s="2" t="n">
        <v>1415917120.312412</v>
      </c>
      <c r="F81" s="4">
        <f>IFERROR(D81/E81,"")</f>
        <v/>
      </c>
      <c r="G81" s="2" t="n">
        <v>515306053.87</v>
      </c>
      <c r="H81" s="2" t="n">
        <v>396842.9302139448</v>
      </c>
      <c r="I81" t="n">
        <v>1</v>
      </c>
    </row>
    <row r="82">
      <c r="A82" t="inlineStr">
        <is>
          <t>MT</t>
        </is>
      </c>
      <c r="B82" t="inlineStr">
        <is>
          <t>Small group</t>
        </is>
      </c>
      <c r="C82" t="n">
        <v>5</v>
      </c>
      <c r="D82" s="2" t="n">
        <v>742577648.2628998</v>
      </c>
      <c r="E82" s="2" t="n">
        <v>800579907.6895996</v>
      </c>
      <c r="F82" s="4">
        <f>IFERROR(D82/E82,"")</f>
        <v/>
      </c>
      <c r="G82" s="2" t="n">
        <v>292183314.69</v>
      </c>
      <c r="H82" s="2" t="n">
        <v>0</v>
      </c>
      <c r="I82" t="n">
        <v>0</v>
      </c>
    </row>
    <row r="83">
      <c r="A83" t="inlineStr">
        <is>
          <t>NC</t>
        </is>
      </c>
      <c r="B83" t="inlineStr">
        <is>
          <t>Individual</t>
        </is>
      </c>
      <c r="C83" t="n">
        <v>18</v>
      </c>
      <c r="D83" s="2" t="n">
        <v>11383541519.43529</v>
      </c>
      <c r="E83" s="2" t="n">
        <v>12848826133.77024</v>
      </c>
      <c r="F83" s="4">
        <f>IFERROR(D83/E83,"")</f>
        <v/>
      </c>
      <c r="G83" s="2" t="n">
        <v>5604752072.908115</v>
      </c>
      <c r="H83" s="2" t="n">
        <v>3664963.4998</v>
      </c>
      <c r="I83" t="n">
        <v>2</v>
      </c>
    </row>
    <row r="84">
      <c r="A84" t="inlineStr">
        <is>
          <t>NC</t>
        </is>
      </c>
      <c r="B84" t="inlineStr">
        <is>
          <t>Large group</t>
        </is>
      </c>
      <c r="C84" t="n">
        <v>11</v>
      </c>
      <c r="D84" s="2" t="n">
        <v>9268411296.97735</v>
      </c>
      <c r="E84" s="2" t="n">
        <v>10365312374.39125</v>
      </c>
      <c r="F84" s="4">
        <f>IFERROR(D84/E84,"")</f>
        <v/>
      </c>
      <c r="G84" s="2" t="n">
        <v>3614322164.123173</v>
      </c>
      <c r="H84" s="2" t="n">
        <v>1769.573630000001</v>
      </c>
      <c r="I84" t="n">
        <v>1</v>
      </c>
    </row>
    <row r="85">
      <c r="A85" t="inlineStr">
        <is>
          <t>NC</t>
        </is>
      </c>
      <c r="B85" t="inlineStr">
        <is>
          <t>Small group</t>
        </is>
      </c>
      <c r="C85" t="n">
        <v>7</v>
      </c>
      <c r="D85" s="2" t="n">
        <v>4016472560.67731</v>
      </c>
      <c r="E85" s="2" t="n">
        <v>4612587433.422892</v>
      </c>
      <c r="F85" s="4">
        <f>IFERROR(D85/E85,"")</f>
        <v/>
      </c>
      <c r="G85" s="2" t="n">
        <v>1604356187.746836</v>
      </c>
      <c r="H85" s="2" t="n">
        <v>0</v>
      </c>
      <c r="I85" t="n">
        <v>0</v>
      </c>
    </row>
    <row r="86">
      <c r="A86" t="inlineStr">
        <is>
          <t>ND</t>
        </is>
      </c>
      <c r="B86" t="inlineStr">
        <is>
          <t>Individual</t>
        </is>
      </c>
      <c r="C86" t="n">
        <v>5</v>
      </c>
      <c r="D86" s="2" t="n">
        <v>723129714.4110128</v>
      </c>
      <c r="E86" s="2" t="n">
        <v>802076959.9930925</v>
      </c>
      <c r="F86" s="4">
        <f>IFERROR(D86/E86,"")</f>
        <v/>
      </c>
      <c r="G86" s="2" t="n">
        <v>298233559.5775815</v>
      </c>
      <c r="H86" s="2" t="n">
        <v>0</v>
      </c>
      <c r="I86" t="n">
        <v>0</v>
      </c>
    </row>
    <row r="87">
      <c r="A87" t="inlineStr">
        <is>
          <t>ND</t>
        </is>
      </c>
      <c r="B87" t="inlineStr">
        <is>
          <t>Large group</t>
        </is>
      </c>
      <c r="C87" t="n">
        <v>7</v>
      </c>
      <c r="D87" s="2" t="n">
        <v>2543377535.541321</v>
      </c>
      <c r="E87" s="2" t="n">
        <v>2740494206.721268</v>
      </c>
      <c r="F87" s="4">
        <f>IFERROR(D87/E87,"")</f>
        <v/>
      </c>
      <c r="G87" s="2" t="n">
        <v>984011410.5726895</v>
      </c>
      <c r="H87" s="2" t="n">
        <v>0</v>
      </c>
      <c r="I87" t="n">
        <v>0</v>
      </c>
    </row>
    <row r="88">
      <c r="A88" t="inlineStr">
        <is>
          <t>ND</t>
        </is>
      </c>
      <c r="B88" t="inlineStr">
        <is>
          <t>Small group</t>
        </is>
      </c>
      <c r="C88" t="n">
        <v>5</v>
      </c>
      <c r="D88" s="2" t="n">
        <v>920198024.8428001</v>
      </c>
      <c r="E88" s="2" t="n">
        <v>1015533964.26082</v>
      </c>
      <c r="F88" s="4">
        <f>IFERROR(D88/E88,"")</f>
        <v/>
      </c>
      <c r="G88" s="2" t="n">
        <v>348947613.1097286</v>
      </c>
      <c r="H88" s="2" t="n">
        <v>0</v>
      </c>
      <c r="I88" t="n">
        <v>0</v>
      </c>
    </row>
    <row r="89">
      <c r="A89" t="inlineStr">
        <is>
          <t>NE</t>
        </is>
      </c>
      <c r="B89" t="inlineStr">
        <is>
          <t>Individual</t>
        </is>
      </c>
      <c r="C89" t="n">
        <v>11</v>
      </c>
      <c r="D89" s="2" t="n">
        <v>1519682227.107639</v>
      </c>
      <c r="E89" s="2" t="n">
        <v>1627359177.921272</v>
      </c>
      <c r="F89" s="4">
        <f>IFERROR(D89/E89,"")</f>
        <v/>
      </c>
      <c r="G89" s="2" t="n">
        <v>670642623.896161</v>
      </c>
      <c r="H89" s="2" t="n">
        <v>0</v>
      </c>
      <c r="I89" t="n">
        <v>0</v>
      </c>
    </row>
    <row r="90">
      <c r="A90" t="inlineStr">
        <is>
          <t>NE</t>
        </is>
      </c>
      <c r="B90" t="inlineStr">
        <is>
          <t>Large group</t>
        </is>
      </c>
      <c r="C90" t="n">
        <v>9</v>
      </c>
      <c r="D90" s="2" t="n">
        <v>3895690261.255833</v>
      </c>
      <c r="E90" s="2" t="n">
        <v>4274977846.616418</v>
      </c>
      <c r="F90" s="4">
        <f>IFERROR(D90/E90,"")</f>
        <v/>
      </c>
      <c r="G90" s="2" t="n">
        <v>1480444346.52</v>
      </c>
      <c r="H90" s="2" t="n">
        <v>1745069.0754</v>
      </c>
      <c r="I90" t="n">
        <v>2</v>
      </c>
    </row>
    <row r="91">
      <c r="A91" t="inlineStr">
        <is>
          <t>NE</t>
        </is>
      </c>
      <c r="B91" t="inlineStr">
        <is>
          <t>Small group</t>
        </is>
      </c>
      <c r="C91" t="n">
        <v>5</v>
      </c>
      <c r="D91" s="2" t="n">
        <v>584566067.8191955</v>
      </c>
      <c r="E91" s="2" t="n">
        <v>707700804.2346429</v>
      </c>
      <c r="F91" s="4">
        <f>IFERROR(D91/E91,"")</f>
        <v/>
      </c>
      <c r="G91" s="2" t="n">
        <v>223328580.66</v>
      </c>
      <c r="H91" s="2" t="n">
        <v>2590878.5669</v>
      </c>
      <c r="I91" t="n">
        <v>1</v>
      </c>
    </row>
    <row r="92">
      <c r="A92" t="inlineStr">
        <is>
          <t>NH</t>
        </is>
      </c>
      <c r="B92" t="inlineStr">
        <is>
          <t>Individual</t>
        </is>
      </c>
      <c r="C92" t="n">
        <v>9</v>
      </c>
      <c r="D92" s="2" t="n">
        <v>688837170.5174973</v>
      </c>
      <c r="E92" s="2" t="n">
        <v>912394237.1954626</v>
      </c>
      <c r="F92" s="4">
        <f>IFERROR(D92/E92,"")</f>
        <v/>
      </c>
      <c r="G92" s="2" t="n">
        <v>354265213.6889268</v>
      </c>
      <c r="H92" s="2" t="n">
        <v>14780302.14705485</v>
      </c>
      <c r="I92" t="n">
        <v>2</v>
      </c>
    </row>
    <row r="93">
      <c r="A93" t="inlineStr">
        <is>
          <t>NH</t>
        </is>
      </c>
      <c r="B93" t="inlineStr">
        <is>
          <t>Large group</t>
        </is>
      </c>
      <c r="C93" t="n">
        <v>8</v>
      </c>
      <c r="D93" s="2" t="n">
        <v>2898386291.353366</v>
      </c>
      <c r="E93" s="2" t="n">
        <v>3246676201.943759</v>
      </c>
      <c r="F93" s="4">
        <f>IFERROR(D93/E93,"")</f>
        <v/>
      </c>
      <c r="G93" s="2" t="n">
        <v>1131204865.047086</v>
      </c>
      <c r="H93" s="2" t="n">
        <v>2723631.013610003</v>
      </c>
      <c r="I93" t="n">
        <v>1</v>
      </c>
    </row>
    <row r="94">
      <c r="A94" t="inlineStr">
        <is>
          <t>NH</t>
        </is>
      </c>
      <c r="B94" t="inlineStr">
        <is>
          <t>Small group</t>
        </is>
      </c>
      <c r="C94" t="n">
        <v>6</v>
      </c>
      <c r="D94" s="2" t="n">
        <v>1032245177.829559</v>
      </c>
      <c r="E94" s="2" t="n">
        <v>1235407967.087928</v>
      </c>
      <c r="F94" s="4">
        <f>IFERROR(D94/E94,"")</f>
        <v/>
      </c>
      <c r="G94" s="2" t="n">
        <v>440406132.6126601</v>
      </c>
      <c r="H94" s="2" t="n">
        <v>5325762.281713196</v>
      </c>
      <c r="I94" t="n">
        <v>3</v>
      </c>
    </row>
    <row r="95">
      <c r="A95" t="inlineStr">
        <is>
          <t>NJ</t>
        </is>
      </c>
      <c r="B95" t="inlineStr">
        <is>
          <t>Individual</t>
        </is>
      </c>
      <c r="C95" t="n">
        <v>15</v>
      </c>
      <c r="D95" s="2" t="n">
        <v>6488854215.080946</v>
      </c>
      <c r="E95" s="2" t="n">
        <v>7567107592.916117</v>
      </c>
      <c r="F95" s="4">
        <f>IFERROR(D95/E95,"")</f>
        <v/>
      </c>
      <c r="G95" s="2" t="n">
        <v>2982199716.350556</v>
      </c>
      <c r="H95" s="2" t="n">
        <v>472592.1838319488</v>
      </c>
      <c r="I95" t="n">
        <v>1</v>
      </c>
    </row>
    <row r="96">
      <c r="A96" t="inlineStr">
        <is>
          <t>NJ</t>
        </is>
      </c>
      <c r="B96" t="inlineStr">
        <is>
          <t>Large group</t>
        </is>
      </c>
      <c r="C96" t="n">
        <v>13</v>
      </c>
      <c r="D96" s="2" t="n">
        <v>15707385716.29403</v>
      </c>
      <c r="E96" s="2" t="n">
        <v>16820828048.23837</v>
      </c>
      <c r="F96" s="4">
        <f>IFERROR(D96/E96,"")</f>
        <v/>
      </c>
      <c r="G96" s="2" t="n">
        <v>5738095695.590545</v>
      </c>
      <c r="H96" s="2" t="n">
        <v>25757788.1351791</v>
      </c>
      <c r="I96" t="n">
        <v>4</v>
      </c>
    </row>
    <row r="97">
      <c r="A97" t="inlineStr">
        <is>
          <t>NJ</t>
        </is>
      </c>
      <c r="B97" t="inlineStr">
        <is>
          <t>Small group</t>
        </is>
      </c>
      <c r="C97" t="n">
        <v>11</v>
      </c>
      <c r="D97" s="2" t="n">
        <v>5771996491.77464</v>
      </c>
      <c r="E97" s="2" t="n">
        <v>6578592758.36378</v>
      </c>
      <c r="F97" s="4">
        <f>IFERROR(D97/E97,"")</f>
        <v/>
      </c>
      <c r="G97" s="2" t="n">
        <v>2174043616.36</v>
      </c>
      <c r="H97" s="2" t="n">
        <v>0</v>
      </c>
      <c r="I97" t="n">
        <v>0</v>
      </c>
    </row>
    <row r="98">
      <c r="A98" t="inlineStr">
        <is>
          <t>NM</t>
        </is>
      </c>
      <c r="B98" t="inlineStr">
        <is>
          <t>Individual</t>
        </is>
      </c>
      <c r="C98" t="n">
        <v>10</v>
      </c>
      <c r="D98" s="2" t="n">
        <v>534769461.1422849</v>
      </c>
      <c r="E98" s="2" t="n">
        <v>630130236.0940713</v>
      </c>
      <c r="F98" s="4">
        <f>IFERROR(D98/E98,"")</f>
        <v/>
      </c>
      <c r="G98" s="2" t="n">
        <v>336364689.3062683</v>
      </c>
      <c r="H98" s="2" t="n">
        <v>5122365.994060512</v>
      </c>
      <c r="I98" t="n">
        <v>2</v>
      </c>
    </row>
    <row r="99">
      <c r="A99" t="inlineStr">
        <is>
          <t>NM</t>
        </is>
      </c>
      <c r="B99" t="inlineStr">
        <is>
          <t>Large group</t>
        </is>
      </c>
      <c r="C99" t="n">
        <v>8</v>
      </c>
      <c r="D99" s="2" t="n">
        <v>1967403943.949479</v>
      </c>
      <c r="E99" s="2" t="n">
        <v>2089743312.64852</v>
      </c>
      <c r="F99" s="4">
        <f>IFERROR(D99/E99,"")</f>
        <v/>
      </c>
      <c r="G99" s="2" t="n">
        <v>776072344.207</v>
      </c>
      <c r="H99" s="2" t="n">
        <v>0</v>
      </c>
      <c r="I99" t="n">
        <v>0</v>
      </c>
    </row>
    <row r="100">
      <c r="A100" t="inlineStr">
        <is>
          <t>NM</t>
        </is>
      </c>
      <c r="B100" t="inlineStr">
        <is>
          <t>Small group</t>
        </is>
      </c>
      <c r="C100" t="n">
        <v>5</v>
      </c>
      <c r="D100" s="2" t="n">
        <v>695693020.9327673</v>
      </c>
      <c r="E100" s="2" t="n">
        <v>787010501.6183097</v>
      </c>
      <c r="F100" s="4">
        <f>IFERROR(D100/E100,"")</f>
        <v/>
      </c>
      <c r="G100" s="2" t="n">
        <v>329663047.0631</v>
      </c>
      <c r="H100" s="2" t="n">
        <v>0</v>
      </c>
      <c r="I100" t="n">
        <v>0</v>
      </c>
    </row>
    <row r="101">
      <c r="A101" t="inlineStr">
        <is>
          <t>NV</t>
        </is>
      </c>
      <c r="B101" t="inlineStr">
        <is>
          <t>Individual</t>
        </is>
      </c>
      <c r="C101" t="n">
        <v>13</v>
      </c>
      <c r="D101" s="2" t="n">
        <v>1454415041.2655</v>
      </c>
      <c r="E101" s="2" t="n">
        <v>1700972490.213237</v>
      </c>
      <c r="F101" s="4">
        <f>IFERROR(D101/E101,"")</f>
        <v/>
      </c>
      <c r="G101" s="2" t="n">
        <v>644636427.4575552</v>
      </c>
      <c r="H101" s="2" t="n">
        <v>7243219.631333816</v>
      </c>
      <c r="I101" t="n">
        <v>1</v>
      </c>
    </row>
    <row r="102">
      <c r="A102" t="inlineStr">
        <is>
          <t>NV</t>
        </is>
      </c>
      <c r="B102" t="inlineStr">
        <is>
          <t>Large group</t>
        </is>
      </c>
      <c r="C102" t="n">
        <v>16</v>
      </c>
      <c r="D102" s="2" t="n">
        <v>4638815789.246962</v>
      </c>
      <c r="E102" s="2" t="n">
        <v>5333390022.771744</v>
      </c>
      <c r="F102" s="4">
        <f>IFERROR(D102/E102,"")</f>
        <v/>
      </c>
      <c r="G102" s="2" t="n">
        <v>1874820898.74</v>
      </c>
      <c r="H102" s="2" t="n">
        <v>6183077.458311438</v>
      </c>
      <c r="I102" t="n">
        <v>3</v>
      </c>
    </row>
    <row r="103">
      <c r="A103" t="inlineStr">
        <is>
          <t>NV</t>
        </is>
      </c>
      <c r="B103" t="inlineStr">
        <is>
          <t>Small group</t>
        </is>
      </c>
      <c r="C103" t="n">
        <v>12</v>
      </c>
      <c r="D103" s="2" t="n">
        <v>1122137704.547835</v>
      </c>
      <c r="E103" s="2" t="n">
        <v>1326671295.234765</v>
      </c>
      <c r="F103" s="4">
        <f>IFERROR(D103/E103,"")</f>
        <v/>
      </c>
      <c r="G103" s="2" t="n">
        <v>480455106.808</v>
      </c>
      <c r="H103" s="2" t="n">
        <v>4643205.155650005</v>
      </c>
      <c r="I103" t="n">
        <v>1</v>
      </c>
    </row>
    <row r="104">
      <c r="A104" t="inlineStr">
        <is>
          <t>NY</t>
        </is>
      </c>
      <c r="B104" t="inlineStr">
        <is>
          <t>Individual</t>
        </is>
      </c>
      <c r="C104" t="n">
        <v>26</v>
      </c>
      <c r="D104" s="2" t="n">
        <v>5542258943.392692</v>
      </c>
      <c r="E104" s="2" t="n">
        <v>5790630244.189554</v>
      </c>
      <c r="F104" s="4">
        <f>IFERROR(D104/E104,"")</f>
        <v/>
      </c>
      <c r="G104" s="2" t="n">
        <v>1987932268.98</v>
      </c>
      <c r="H104" s="2" t="n">
        <v>65156.82399999916</v>
      </c>
      <c r="I104" t="n">
        <v>1</v>
      </c>
    </row>
    <row r="105">
      <c r="A105" t="inlineStr">
        <is>
          <t>NY</t>
        </is>
      </c>
      <c r="B105" t="inlineStr">
        <is>
          <t>Large group</t>
        </is>
      </c>
      <c r="C105" t="n">
        <v>22</v>
      </c>
      <c r="D105" s="2" t="n">
        <v>46723417763.3671</v>
      </c>
      <c r="E105" s="2" t="n">
        <v>52070040615.35423</v>
      </c>
      <c r="F105" s="4">
        <f>IFERROR(D105/E105,"")</f>
        <v/>
      </c>
      <c r="G105" s="2" t="n">
        <v>18748262033.19131</v>
      </c>
      <c r="H105" s="2" t="n">
        <v>16218201.5006</v>
      </c>
      <c r="I105" t="n">
        <v>2</v>
      </c>
    </row>
    <row r="106">
      <c r="A106" t="inlineStr">
        <is>
          <t>NY</t>
        </is>
      </c>
      <c r="B106" t="inlineStr">
        <is>
          <t>Small group</t>
        </is>
      </c>
      <c r="C106" t="n">
        <v>19</v>
      </c>
      <c r="D106" s="2" t="n">
        <v>18730079341.62213</v>
      </c>
      <c r="E106" s="2" t="n">
        <v>21352504198.19864</v>
      </c>
      <c r="F106" s="4">
        <f>IFERROR(D106/E106,"")</f>
        <v/>
      </c>
      <c r="G106" s="2" t="n">
        <v>7439410106.065835</v>
      </c>
      <c r="H106" s="2" t="n">
        <v>11260.364</v>
      </c>
      <c r="I106" t="n">
        <v>1</v>
      </c>
    </row>
    <row r="107">
      <c r="A107" t="inlineStr">
        <is>
          <t>OH</t>
        </is>
      </c>
      <c r="B107" t="inlineStr">
        <is>
          <t>Individual</t>
        </is>
      </c>
      <c r="C107" t="n">
        <v>21</v>
      </c>
      <c r="D107" s="2" t="n">
        <v>4834363910.533548</v>
      </c>
      <c r="E107" s="2" t="n">
        <v>5758642938.777088</v>
      </c>
      <c r="F107" s="4">
        <f>IFERROR(D107/E107,"")</f>
        <v/>
      </c>
      <c r="G107" s="2" t="n">
        <v>2453184990.210674</v>
      </c>
      <c r="H107" s="2" t="n">
        <v>2529007.999301936</v>
      </c>
      <c r="I107" t="n">
        <v>3</v>
      </c>
    </row>
    <row r="108">
      <c r="A108" t="inlineStr">
        <is>
          <t>OH</t>
        </is>
      </c>
      <c r="B108" t="inlineStr">
        <is>
          <t>Large group</t>
        </is>
      </c>
      <c r="C108" t="n">
        <v>21</v>
      </c>
      <c r="D108" s="2" t="n">
        <v>15460431013.02563</v>
      </c>
      <c r="E108" s="2" t="n">
        <v>17194464579.15511</v>
      </c>
      <c r="F108" s="4">
        <f>IFERROR(D108/E108,"")</f>
        <v/>
      </c>
      <c r="G108" s="2" t="n">
        <v>5956557005.211022</v>
      </c>
      <c r="H108" s="2" t="n">
        <v>26540.51243999993</v>
      </c>
      <c r="I108" t="n">
        <v>1</v>
      </c>
    </row>
    <row r="109">
      <c r="A109" t="inlineStr">
        <is>
          <t>OH</t>
        </is>
      </c>
      <c r="B109" t="inlineStr">
        <is>
          <t>Small group</t>
        </is>
      </c>
      <c r="C109" t="n">
        <v>15</v>
      </c>
      <c r="D109" s="2" t="n">
        <v>3037691348.389945</v>
      </c>
      <c r="E109" s="2" t="n">
        <v>3926733531.724604</v>
      </c>
      <c r="F109" s="4">
        <f>IFERROR(D109/E109,"")</f>
        <v/>
      </c>
      <c r="G109" s="2" t="n">
        <v>1222049053.468583</v>
      </c>
      <c r="H109" s="2" t="n">
        <v>12049704.94060401</v>
      </c>
      <c r="I109" t="n">
        <v>3</v>
      </c>
    </row>
    <row r="110">
      <c r="A110" t="inlineStr">
        <is>
          <t>OK</t>
        </is>
      </c>
      <c r="B110" t="inlineStr">
        <is>
          <t>Individual</t>
        </is>
      </c>
      <c r="C110" t="n">
        <v>15</v>
      </c>
      <c r="D110" s="2" t="n">
        <v>3529412138.411582</v>
      </c>
      <c r="E110" s="2" t="n">
        <v>3591688272.556976</v>
      </c>
      <c r="F110" s="4">
        <f>IFERROR(D110/E110,"")</f>
        <v/>
      </c>
      <c r="G110" s="2" t="n">
        <v>1340996455.734206</v>
      </c>
      <c r="H110" s="2" t="n">
        <v>5046942.538980002</v>
      </c>
      <c r="I110" t="n">
        <v>2</v>
      </c>
    </row>
    <row r="111">
      <c r="A111" t="inlineStr">
        <is>
          <t>OK</t>
        </is>
      </c>
      <c r="B111" t="inlineStr">
        <is>
          <t>Large group</t>
        </is>
      </c>
      <c r="C111" t="n">
        <v>12</v>
      </c>
      <c r="D111" s="2" t="n">
        <v>6239190539.642548</v>
      </c>
      <c r="E111" s="2" t="n">
        <v>6815827213.51212</v>
      </c>
      <c r="F111" s="4">
        <f>IFERROR(D111/E111,"")</f>
        <v/>
      </c>
      <c r="G111" s="2" t="n">
        <v>2411387671.72</v>
      </c>
      <c r="H111" s="2" t="n">
        <v>112822.4980000001</v>
      </c>
      <c r="I111" t="n">
        <v>1</v>
      </c>
    </row>
    <row r="112">
      <c r="A112" t="inlineStr">
        <is>
          <t>OK</t>
        </is>
      </c>
      <c r="B112" t="inlineStr">
        <is>
          <t>Small group</t>
        </is>
      </c>
      <c r="C112" t="n">
        <v>7</v>
      </c>
      <c r="D112" s="2" t="n">
        <v>2410037887.321171</v>
      </c>
      <c r="E112" s="2" t="n">
        <v>2812701473.657885</v>
      </c>
      <c r="F112" s="4">
        <f>IFERROR(D112/E112,"")</f>
        <v/>
      </c>
      <c r="G112" s="2" t="n">
        <v>977891627.53</v>
      </c>
      <c r="H112" s="2" t="n">
        <v>0</v>
      </c>
      <c r="I112" t="n">
        <v>0</v>
      </c>
    </row>
    <row r="113">
      <c r="A113" t="inlineStr">
        <is>
          <t>OR</t>
        </is>
      </c>
      <c r="B113" t="inlineStr">
        <is>
          <t>Individual</t>
        </is>
      </c>
      <c r="C113" t="n">
        <v>11</v>
      </c>
      <c r="D113" s="2" t="n">
        <v>3040390849.608573</v>
      </c>
      <c r="E113" s="2" t="n">
        <v>3300422679.684555</v>
      </c>
      <c r="F113" s="4">
        <f>IFERROR(D113/E113,"")</f>
        <v/>
      </c>
      <c r="G113" s="2" t="n">
        <v>1179333541.897872</v>
      </c>
      <c r="H113" s="2" t="n">
        <v>0</v>
      </c>
      <c r="I113" t="n">
        <v>0</v>
      </c>
    </row>
    <row r="114">
      <c r="A114" t="inlineStr">
        <is>
          <t>OR</t>
        </is>
      </c>
      <c r="B114" t="inlineStr">
        <is>
          <t>Large group</t>
        </is>
      </c>
      <c r="C114" t="n">
        <v>14</v>
      </c>
      <c r="D114" s="2" t="n">
        <v>11251504389.25912</v>
      </c>
      <c r="E114" s="2" t="n">
        <v>12604854018.89529</v>
      </c>
      <c r="F114" s="4">
        <f>IFERROR(D114/E114,"")</f>
        <v/>
      </c>
      <c r="G114" s="2" t="n">
        <v>4471877718.82</v>
      </c>
      <c r="H114" s="2" t="n">
        <v>0</v>
      </c>
      <c r="I114" t="n">
        <v>0</v>
      </c>
    </row>
    <row r="115">
      <c r="A115" t="inlineStr">
        <is>
          <t>OR</t>
        </is>
      </c>
      <c r="B115" t="inlineStr">
        <is>
          <t>Small group</t>
        </is>
      </c>
      <c r="C115" t="n">
        <v>10</v>
      </c>
      <c r="D115" s="2" t="n">
        <v>2743525814.870529</v>
      </c>
      <c r="E115" s="2" t="n">
        <v>3054472326.671779</v>
      </c>
      <c r="F115" s="4">
        <f>IFERROR(D115/E115,"")</f>
        <v/>
      </c>
      <c r="G115" s="2" t="n">
        <v>1081921862.80856</v>
      </c>
      <c r="H115" s="2" t="n">
        <v>0</v>
      </c>
      <c r="I115" t="n">
        <v>0</v>
      </c>
    </row>
    <row r="116">
      <c r="A116" t="inlineStr">
        <is>
          <t>PA</t>
        </is>
      </c>
      <c r="B116" t="inlineStr">
        <is>
          <t>Individual</t>
        </is>
      </c>
      <c r="C116" t="n">
        <v>29</v>
      </c>
      <c r="D116" s="2" t="n">
        <v>7790376610.018885</v>
      </c>
      <c r="E116" s="2" t="n">
        <v>9027277167.767405</v>
      </c>
      <c r="F116" s="4">
        <f>IFERROR(D116/E116,"")</f>
        <v/>
      </c>
      <c r="G116" s="2" t="n">
        <v>3256249220.491159</v>
      </c>
      <c r="H116" s="2" t="n">
        <v>25550679.0012</v>
      </c>
      <c r="I116" t="n">
        <v>6</v>
      </c>
    </row>
    <row r="117">
      <c r="A117" t="inlineStr">
        <is>
          <t>PA</t>
        </is>
      </c>
      <c r="B117" t="inlineStr">
        <is>
          <t>Large group</t>
        </is>
      </c>
      <c r="C117" t="n">
        <v>30</v>
      </c>
      <c r="D117" s="2" t="n">
        <v>21916510727.48849</v>
      </c>
      <c r="E117" s="2" t="n">
        <v>24568020228.19552</v>
      </c>
      <c r="F117" s="4">
        <f>IFERROR(D117/E117,"")</f>
        <v/>
      </c>
      <c r="G117" s="2" t="n">
        <v>8287729543.656842</v>
      </c>
      <c r="H117" s="2" t="n">
        <v>48097815.30431323</v>
      </c>
      <c r="I117" t="n">
        <v>6</v>
      </c>
    </row>
    <row r="118">
      <c r="A118" t="inlineStr">
        <is>
          <t>PA</t>
        </is>
      </c>
      <c r="B118" t="inlineStr">
        <is>
          <t>Small group</t>
        </is>
      </c>
      <c r="C118" t="n">
        <v>24</v>
      </c>
      <c r="D118" s="2" t="n">
        <v>7995754507.252728</v>
      </c>
      <c r="E118" s="2" t="n">
        <v>9484029913.615129</v>
      </c>
      <c r="F118" s="4">
        <f>IFERROR(D118/E118,"")</f>
        <v/>
      </c>
      <c r="G118" s="2" t="n">
        <v>3230084876.670899</v>
      </c>
      <c r="H118" s="2" t="n">
        <v>52551160</v>
      </c>
      <c r="I118" t="n">
        <v>3</v>
      </c>
    </row>
    <row r="119">
      <c r="A119" t="inlineStr">
        <is>
          <t>PR</t>
        </is>
      </c>
      <c r="B119" t="inlineStr">
        <is>
          <t>Individual</t>
        </is>
      </c>
      <c r="C119" t="n">
        <v>6</v>
      </c>
      <c r="D119" s="2" t="n">
        <v>450276274.07</v>
      </c>
      <c r="E119" s="2" t="n">
        <v>536828784.0099759</v>
      </c>
      <c r="F119" s="4">
        <f>IFERROR(D119/E119,"")</f>
        <v/>
      </c>
      <c r="G119" s="2" t="n">
        <v>171771872.63</v>
      </c>
      <c r="H119" s="2" t="n">
        <v>0</v>
      </c>
      <c r="I119" t="n">
        <v>0</v>
      </c>
    </row>
    <row r="120">
      <c r="A120" t="inlineStr">
        <is>
          <t>PR</t>
        </is>
      </c>
      <c r="B120" t="inlineStr">
        <is>
          <t>Large group</t>
        </is>
      </c>
      <c r="C120" t="n">
        <v>8</v>
      </c>
      <c r="D120" s="2" t="n">
        <v>2129885677.96</v>
      </c>
      <c r="E120" s="2" t="n">
        <v>2351731819.390679</v>
      </c>
      <c r="F120" s="4">
        <f>IFERROR(D120/E120,"")</f>
        <v/>
      </c>
      <c r="G120" s="2" t="n">
        <v>829219780.6799999</v>
      </c>
      <c r="H120" s="2" t="n">
        <v>176245.0091600002</v>
      </c>
      <c r="I120" t="n">
        <v>1</v>
      </c>
    </row>
    <row r="121">
      <c r="A121" t="inlineStr">
        <is>
          <t>PR</t>
        </is>
      </c>
      <c r="B121" t="inlineStr">
        <is>
          <t>Small group</t>
        </is>
      </c>
      <c r="C121" t="n">
        <v>6</v>
      </c>
      <c r="D121" s="2" t="n">
        <v>251170195.81</v>
      </c>
      <c r="E121" s="2" t="n">
        <v>285670626.2248168</v>
      </c>
      <c r="F121" s="4">
        <f>IFERROR(D121/E121,"")</f>
        <v/>
      </c>
      <c r="G121" s="2" t="n">
        <v>103989506.58</v>
      </c>
      <c r="H121" s="2" t="n">
        <v>0</v>
      </c>
      <c r="I121" t="n">
        <v>0</v>
      </c>
    </row>
    <row r="122">
      <c r="A122" t="inlineStr">
        <is>
          <t>RI</t>
        </is>
      </c>
      <c r="B122" t="inlineStr">
        <is>
          <t>Individual</t>
        </is>
      </c>
      <c r="C122" t="n">
        <v>6</v>
      </c>
      <c r="D122" s="2" t="n">
        <v>572190278.6396003</v>
      </c>
      <c r="E122" s="2" t="n">
        <v>696798706.7579452</v>
      </c>
      <c r="F122" s="4">
        <f>IFERROR(D122/E122,"")</f>
        <v/>
      </c>
      <c r="G122" s="2" t="n">
        <v>251569098.2599991</v>
      </c>
      <c r="H122" s="2" t="n">
        <v>493404.4361200005</v>
      </c>
      <c r="I122" t="n">
        <v>1</v>
      </c>
    </row>
    <row r="123">
      <c r="A123" t="inlineStr">
        <is>
          <t>RI</t>
        </is>
      </c>
      <c r="B123" t="inlineStr">
        <is>
          <t>Large group</t>
        </is>
      </c>
      <c r="C123" t="n">
        <v>8</v>
      </c>
      <c r="D123" s="2" t="n">
        <v>1802197265.084874</v>
      </c>
      <c r="E123" s="2" t="n">
        <v>2049584709.719679</v>
      </c>
      <c r="F123" s="4">
        <f>IFERROR(D123/E123,"")</f>
        <v/>
      </c>
      <c r="G123" s="2" t="n">
        <v>724045792.9784675</v>
      </c>
      <c r="H123" s="2" t="n">
        <v>0</v>
      </c>
      <c r="I123" t="n">
        <v>0</v>
      </c>
    </row>
    <row r="124">
      <c r="A124" t="inlineStr">
        <is>
          <t>RI</t>
        </is>
      </c>
      <c r="B124" t="inlineStr">
        <is>
          <t>Small group</t>
        </is>
      </c>
      <c r="C124" t="n">
        <v>7</v>
      </c>
      <c r="D124" s="2" t="n">
        <v>800125857.9224677</v>
      </c>
      <c r="E124" s="2" t="n">
        <v>944669697.7419026</v>
      </c>
      <c r="F124" s="4">
        <f>IFERROR(D124/E124,"")</f>
        <v/>
      </c>
      <c r="G124" s="2" t="n">
        <v>327318407.6315348</v>
      </c>
      <c r="H124" s="2" t="n">
        <v>0</v>
      </c>
      <c r="I124" t="n">
        <v>0</v>
      </c>
    </row>
    <row r="125">
      <c r="A125" t="inlineStr">
        <is>
          <t>SC</t>
        </is>
      </c>
      <c r="B125" t="inlineStr">
        <is>
          <t>Individual</t>
        </is>
      </c>
      <c r="C125" t="n">
        <v>14</v>
      </c>
      <c r="D125" s="2" t="n">
        <v>5139416224.413637</v>
      </c>
      <c r="E125" s="2" t="n">
        <v>6241406348.141113</v>
      </c>
      <c r="F125" s="4">
        <f>IFERROR(D125/E125,"")</f>
        <v/>
      </c>
      <c r="G125" s="2" t="n">
        <v>2754104457.382751</v>
      </c>
      <c r="H125" s="2" t="n">
        <v>12258918.82344777</v>
      </c>
      <c r="I125" t="n">
        <v>2</v>
      </c>
    </row>
    <row r="126">
      <c r="A126" t="inlineStr">
        <is>
          <t>SC</t>
        </is>
      </c>
      <c r="B126" t="inlineStr">
        <is>
          <t>Large group</t>
        </is>
      </c>
      <c r="C126" t="n">
        <v>13</v>
      </c>
      <c r="D126" s="2" t="n">
        <v>5383875343.424149</v>
      </c>
      <c r="E126" s="2" t="n">
        <v>5985287974.230753</v>
      </c>
      <c r="F126" s="4">
        <f>IFERROR(D126/E126,"")</f>
        <v/>
      </c>
      <c r="G126" s="2" t="n">
        <v>2120807987.923272</v>
      </c>
      <c r="H126" s="2" t="n">
        <v>10416.1257</v>
      </c>
      <c r="I126" t="n">
        <v>1</v>
      </c>
    </row>
    <row r="127">
      <c r="A127" t="inlineStr">
        <is>
          <t>SC</t>
        </is>
      </c>
      <c r="B127" t="inlineStr">
        <is>
          <t>Small group</t>
        </is>
      </c>
      <c r="C127" t="n">
        <v>7</v>
      </c>
      <c r="D127" s="2" t="n">
        <v>1262179062.6</v>
      </c>
      <c r="E127" s="2" t="n">
        <v>1623215497.28385</v>
      </c>
      <c r="F127" s="4">
        <f>IFERROR(D127/E127,"")</f>
        <v/>
      </c>
      <c r="G127" s="2" t="n">
        <v>527527446.41</v>
      </c>
      <c r="H127" s="2" t="n">
        <v>11635435.87500001</v>
      </c>
      <c r="I127" t="n">
        <v>1</v>
      </c>
    </row>
    <row r="128">
      <c r="A128" t="inlineStr">
        <is>
          <t>SD</t>
        </is>
      </c>
      <c r="B128" t="inlineStr">
        <is>
          <t>Individual</t>
        </is>
      </c>
      <c r="C128" t="n">
        <v>8</v>
      </c>
      <c r="D128" s="2" t="n">
        <v>1219386085.468516</v>
      </c>
      <c r="E128" s="2" t="n">
        <v>1292322522.858967</v>
      </c>
      <c r="F128" s="4">
        <f>IFERROR(D128/E128,"")</f>
        <v/>
      </c>
      <c r="G128" s="2" t="n">
        <v>492044440.7339947</v>
      </c>
      <c r="H128" s="2" t="n">
        <v>0</v>
      </c>
      <c r="I128" t="n">
        <v>0</v>
      </c>
    </row>
    <row r="129">
      <c r="A129" t="inlineStr">
        <is>
          <t>SD</t>
        </is>
      </c>
      <c r="B129" t="inlineStr">
        <is>
          <t>Large group</t>
        </is>
      </c>
      <c r="C129" t="n">
        <v>9</v>
      </c>
      <c r="D129" s="2" t="n">
        <v>1766195883.585474</v>
      </c>
      <c r="E129" s="2" t="n">
        <v>1916410085.612307</v>
      </c>
      <c r="F129" s="4">
        <f>IFERROR(D129/E129,"")</f>
        <v/>
      </c>
      <c r="G129" s="2" t="n">
        <v>685342298.86</v>
      </c>
      <c r="H129" s="2" t="n">
        <v>0</v>
      </c>
      <c r="I129" t="n">
        <v>0</v>
      </c>
    </row>
    <row r="130">
      <c r="A130" t="inlineStr">
        <is>
          <t>SD</t>
        </is>
      </c>
      <c r="B130" t="inlineStr">
        <is>
          <t>Small group</t>
        </is>
      </c>
      <c r="C130" t="n">
        <v>7</v>
      </c>
      <c r="D130" s="2" t="n">
        <v>761022375.6211122</v>
      </c>
      <c r="E130" s="2" t="n">
        <v>879756791.2561244</v>
      </c>
      <c r="F130" s="4">
        <f>IFERROR(D130/E130,"")</f>
        <v/>
      </c>
      <c r="G130" s="2" t="n">
        <v>301095338.5999999</v>
      </c>
      <c r="H130" s="2" t="n">
        <v>151.2800000000001</v>
      </c>
      <c r="I130" t="n">
        <v>1</v>
      </c>
    </row>
    <row r="131">
      <c r="A131" t="inlineStr">
        <is>
          <t>TN</t>
        </is>
      </c>
      <c r="B131" t="inlineStr">
        <is>
          <t>Individual</t>
        </is>
      </c>
      <c r="C131" t="n">
        <v>14</v>
      </c>
      <c r="D131" s="2" t="n">
        <v>5141815685.803745</v>
      </c>
      <c r="E131" s="2" t="n">
        <v>5872441250.349681</v>
      </c>
      <c r="F131" s="4">
        <f>IFERROR(D131/E131,"")</f>
        <v/>
      </c>
      <c r="G131" s="2" t="n">
        <v>2879923820.072509</v>
      </c>
      <c r="H131" s="2" t="n">
        <v>4910672.5653</v>
      </c>
      <c r="I131" t="n">
        <v>2</v>
      </c>
    </row>
    <row r="132">
      <c r="A132" t="inlineStr">
        <is>
          <t>TN</t>
        </is>
      </c>
      <c r="B132" t="inlineStr">
        <is>
          <t>Large group</t>
        </is>
      </c>
      <c r="C132" t="n">
        <v>13</v>
      </c>
      <c r="D132" s="2" t="n">
        <v>8125800938.613955</v>
      </c>
      <c r="E132" s="2" t="n">
        <v>9169775398.625505</v>
      </c>
      <c r="F132" s="4">
        <f>IFERROR(D132/E132,"")</f>
        <v/>
      </c>
      <c r="G132" s="2" t="n">
        <v>3238457071.279072</v>
      </c>
      <c r="H132" s="2" t="n">
        <v>4081958.193609023</v>
      </c>
      <c r="I132" t="n">
        <v>5</v>
      </c>
    </row>
    <row r="133">
      <c r="A133" t="inlineStr">
        <is>
          <t>TN</t>
        </is>
      </c>
      <c r="B133" t="inlineStr">
        <is>
          <t>Small group</t>
        </is>
      </c>
      <c r="C133" t="n">
        <v>9</v>
      </c>
      <c r="D133" s="2" t="n">
        <v>2368588518.135209</v>
      </c>
      <c r="E133" s="2" t="n">
        <v>2872882425.06973</v>
      </c>
      <c r="F133" s="4">
        <f>IFERROR(D133/E133,"")</f>
        <v/>
      </c>
      <c r="G133" s="2" t="n">
        <v>989252727.5</v>
      </c>
      <c r="H133" s="2" t="n">
        <v>743562.0699999999</v>
      </c>
      <c r="I133" t="n">
        <v>1</v>
      </c>
    </row>
    <row r="134">
      <c r="A134" t="inlineStr">
        <is>
          <t>TX</t>
        </is>
      </c>
      <c r="B134" t="inlineStr">
        <is>
          <t>Individual</t>
        </is>
      </c>
      <c r="C134" t="n">
        <v>26</v>
      </c>
      <c r="D134" s="2" t="n">
        <v>29036060509.00856</v>
      </c>
      <c r="E134" s="2" t="n">
        <v>34139526974.35492</v>
      </c>
      <c r="F134" s="4">
        <f>IFERROR(D134/E134,"")</f>
        <v/>
      </c>
      <c r="G134" s="2" t="n">
        <v>17307893488.1744</v>
      </c>
      <c r="H134" s="2" t="n">
        <v>1766638.492480001</v>
      </c>
      <c r="I134" t="n">
        <v>3</v>
      </c>
    </row>
    <row r="135">
      <c r="A135" t="inlineStr">
        <is>
          <t>TX</t>
        </is>
      </c>
      <c r="B135" t="inlineStr">
        <is>
          <t>Large group</t>
        </is>
      </c>
      <c r="C135" t="n">
        <v>19</v>
      </c>
      <c r="D135" s="2" t="n">
        <v>36278644440.77782</v>
      </c>
      <c r="E135" s="2" t="n">
        <v>39012451707.93208</v>
      </c>
      <c r="F135" s="4">
        <f>IFERROR(D135/E135,"")</f>
        <v/>
      </c>
      <c r="G135" s="2" t="n">
        <v>13869898183.19896</v>
      </c>
      <c r="H135" s="2" t="n">
        <v>2140867.699514279</v>
      </c>
      <c r="I135" t="n">
        <v>4</v>
      </c>
    </row>
    <row r="136">
      <c r="A136" t="inlineStr">
        <is>
          <t>TX</t>
        </is>
      </c>
      <c r="B136" t="inlineStr">
        <is>
          <t>Small group</t>
        </is>
      </c>
      <c r="C136" t="n">
        <v>13</v>
      </c>
      <c r="D136" s="2" t="n">
        <v>12889956821.74323</v>
      </c>
      <c r="E136" s="2" t="n">
        <v>14850367401.47529</v>
      </c>
      <c r="F136" s="4">
        <f>IFERROR(D136/E136,"")</f>
        <v/>
      </c>
      <c r="G136" s="2" t="n">
        <v>5062188208.98</v>
      </c>
      <c r="H136" s="2" t="n">
        <v>5666368.111599999</v>
      </c>
      <c r="I136" t="n">
        <v>3</v>
      </c>
    </row>
    <row r="137">
      <c r="A137" t="inlineStr">
        <is>
          <t>UT</t>
        </is>
      </c>
      <c r="B137" t="inlineStr">
        <is>
          <t>Individual</t>
        </is>
      </c>
      <c r="C137" t="n">
        <v>9</v>
      </c>
      <c r="D137" s="2" t="n">
        <v>3631048988.065474</v>
      </c>
      <c r="E137" s="2" t="n">
        <v>4012389353.053961</v>
      </c>
      <c r="F137" s="4">
        <f>IFERROR(D137/E137,"")</f>
        <v/>
      </c>
      <c r="G137" s="2" t="n">
        <v>1635857388.3504</v>
      </c>
      <c r="H137" s="2" t="n">
        <v>0</v>
      </c>
      <c r="I137" t="n">
        <v>0</v>
      </c>
    </row>
    <row r="138">
      <c r="A138" t="inlineStr">
        <is>
          <t>UT</t>
        </is>
      </c>
      <c r="B138" t="inlineStr">
        <is>
          <t>Large group</t>
        </is>
      </c>
      <c r="C138" t="n">
        <v>14</v>
      </c>
      <c r="D138" s="2" t="n">
        <v>6050186198.587614</v>
      </c>
      <c r="E138" s="2" t="n">
        <v>6634907322.866176</v>
      </c>
      <c r="F138" s="4">
        <f>IFERROR(D138/E138,"")</f>
        <v/>
      </c>
      <c r="G138" s="2" t="n">
        <v>2295018973.26</v>
      </c>
      <c r="H138" s="2" t="n">
        <v>473696.16</v>
      </c>
      <c r="I138" t="n">
        <v>1</v>
      </c>
    </row>
    <row r="139">
      <c r="A139" t="inlineStr">
        <is>
          <t>UT</t>
        </is>
      </c>
      <c r="B139" t="inlineStr">
        <is>
          <t>Small group</t>
        </is>
      </c>
      <c r="C139" t="n">
        <v>8</v>
      </c>
      <c r="D139" s="2" t="n">
        <v>1884827286.752308</v>
      </c>
      <c r="E139" s="2" t="n">
        <v>2130774123.080564</v>
      </c>
      <c r="F139" s="4">
        <f>IFERROR(D139/E139,"")</f>
        <v/>
      </c>
      <c r="G139" s="2" t="n">
        <v>727859719.34191</v>
      </c>
      <c r="H139" s="2" t="n">
        <v>551342.7350000001</v>
      </c>
      <c r="I139" t="n">
        <v>1</v>
      </c>
    </row>
    <row r="140">
      <c r="A140" t="inlineStr">
        <is>
          <t>VA</t>
        </is>
      </c>
      <c r="B140" t="inlineStr">
        <is>
          <t>Individual</t>
        </is>
      </c>
      <c r="C140" t="n">
        <v>19</v>
      </c>
      <c r="D140" s="2" t="n">
        <v>5025667177.94873</v>
      </c>
      <c r="E140" s="2" t="n">
        <v>6053024572.241101</v>
      </c>
      <c r="F140" s="4">
        <f>IFERROR(D140/E140,"")</f>
        <v/>
      </c>
      <c r="G140" s="2" t="n">
        <v>2145176668.530524</v>
      </c>
      <c r="H140" s="2" t="n">
        <v>21033440.66408002</v>
      </c>
      <c r="I140" t="n">
        <v>3</v>
      </c>
    </row>
    <row r="141">
      <c r="A141" t="inlineStr">
        <is>
          <t>VA</t>
        </is>
      </c>
      <c r="B141" t="inlineStr">
        <is>
          <t>Large group</t>
        </is>
      </c>
      <c r="C141" t="n">
        <v>21</v>
      </c>
      <c r="D141" s="2" t="n">
        <v>18659516570.07938</v>
      </c>
      <c r="E141" s="2" t="n">
        <v>20624627745.84355</v>
      </c>
      <c r="F141" s="4">
        <f>IFERROR(D141/E141,"")</f>
        <v/>
      </c>
      <c r="G141" s="2" t="n">
        <v>7391834033.579922</v>
      </c>
      <c r="H141" s="2" t="n">
        <v>4740674.68153115</v>
      </c>
      <c r="I141" t="n">
        <v>5</v>
      </c>
    </row>
    <row r="142">
      <c r="A142" t="inlineStr">
        <is>
          <t>VA</t>
        </is>
      </c>
      <c r="B142" t="inlineStr">
        <is>
          <t>Small group</t>
        </is>
      </c>
      <c r="C142" t="n">
        <v>17</v>
      </c>
      <c r="D142" s="2" t="n">
        <v>4886822126.435011</v>
      </c>
      <c r="E142" s="2" t="n">
        <v>5894934062.057835</v>
      </c>
      <c r="F142" s="4">
        <f>IFERROR(D142/E142,"")</f>
        <v/>
      </c>
      <c r="G142" s="2" t="n">
        <v>2053000234.278079</v>
      </c>
      <c r="H142" s="2" t="n">
        <v>14751335.27854001</v>
      </c>
      <c r="I142" t="n">
        <v>3</v>
      </c>
    </row>
    <row r="143">
      <c r="A143" t="inlineStr">
        <is>
          <t>VI</t>
        </is>
      </c>
      <c r="B143" t="inlineStr">
        <is>
          <t>Large group</t>
        </is>
      </c>
      <c r="C143" t="n">
        <v>2</v>
      </c>
      <c r="D143" s="2" t="n">
        <v>482984138.97</v>
      </c>
      <c r="E143" s="2" t="n">
        <v>564458014.22</v>
      </c>
      <c r="F143" s="4">
        <f>IFERROR(D143/E143,"")</f>
        <v/>
      </c>
      <c r="G143" s="2" t="n">
        <v>197166019.87</v>
      </c>
      <c r="H143" s="2" t="n">
        <v>0</v>
      </c>
      <c r="I143" t="n">
        <v>0</v>
      </c>
    </row>
    <row r="144">
      <c r="A144" t="inlineStr">
        <is>
          <t>VI</t>
        </is>
      </c>
      <c r="B144" t="inlineStr">
        <is>
          <t>Small group</t>
        </is>
      </c>
      <c r="C144" t="n">
        <v>1</v>
      </c>
      <c r="D144" s="2" t="n">
        <v>57645884.13</v>
      </c>
      <c r="E144" s="2" t="n">
        <v>68829290.95</v>
      </c>
      <c r="F144" s="4">
        <f>IFERROR(D144/E144,"")</f>
        <v/>
      </c>
      <c r="G144" s="2" t="n">
        <v>23196943.43</v>
      </c>
      <c r="H144" s="2" t="n">
        <v>0</v>
      </c>
      <c r="I144" t="n">
        <v>0</v>
      </c>
    </row>
    <row r="145">
      <c r="A145" t="inlineStr">
        <is>
          <t>VT</t>
        </is>
      </c>
      <c r="B145" t="inlineStr">
        <is>
          <t>Individual</t>
        </is>
      </c>
      <c r="C145" t="n">
        <v>3</v>
      </c>
      <c r="D145" s="2" t="n">
        <v>732826848.6016061</v>
      </c>
      <c r="E145" s="2" t="n">
        <v>742050487.8192091</v>
      </c>
      <c r="F145" s="4">
        <f>IFERROR(D145/E145,"")</f>
        <v/>
      </c>
      <c r="G145" s="2" t="n">
        <v>279714496.08</v>
      </c>
      <c r="H145" s="2" t="n">
        <v>0</v>
      </c>
      <c r="I145" t="n">
        <v>0</v>
      </c>
    </row>
    <row r="146">
      <c r="A146" t="inlineStr">
        <is>
          <t>VT</t>
        </is>
      </c>
      <c r="B146" t="inlineStr">
        <is>
          <t>Large group</t>
        </is>
      </c>
      <c r="C146" t="n">
        <v>4</v>
      </c>
      <c r="D146" s="2" t="n">
        <v>573526712.0147407</v>
      </c>
      <c r="E146" s="2" t="n">
        <v>615574300.6993126</v>
      </c>
      <c r="F146" s="4">
        <f>IFERROR(D146/E146,"")</f>
        <v/>
      </c>
      <c r="G146" s="2" t="n">
        <v>212956210</v>
      </c>
      <c r="H146" s="2" t="n">
        <v>0</v>
      </c>
      <c r="I146" t="n">
        <v>0</v>
      </c>
    </row>
    <row r="147">
      <c r="A147" t="inlineStr">
        <is>
          <t>VT</t>
        </is>
      </c>
      <c r="B147" t="inlineStr">
        <is>
          <t>Small group</t>
        </is>
      </c>
      <c r="C147" t="n">
        <v>3</v>
      </c>
      <c r="D147" s="2" t="n">
        <v>865277378.13805</v>
      </c>
      <c r="E147" s="2" t="n">
        <v>878215480.4202065</v>
      </c>
      <c r="F147" s="4">
        <f>IFERROR(D147/E147,"")</f>
        <v/>
      </c>
      <c r="G147" s="2" t="n">
        <v>307858828.23</v>
      </c>
      <c r="H147" s="2" t="n">
        <v>0</v>
      </c>
      <c r="I147" t="n">
        <v>0</v>
      </c>
    </row>
    <row r="148">
      <c r="A148" t="inlineStr">
        <is>
          <t>WA</t>
        </is>
      </c>
      <c r="B148" t="inlineStr">
        <is>
          <t>Individual</t>
        </is>
      </c>
      <c r="C148" t="n">
        <v>19</v>
      </c>
      <c r="D148" s="2" t="n">
        <v>3935863746.645505</v>
      </c>
      <c r="E148" s="2" t="n">
        <v>4320592466.706468</v>
      </c>
      <c r="F148" s="4">
        <f>IFERROR(D148/E148,"")</f>
        <v/>
      </c>
      <c r="G148" s="2" t="n">
        <v>1478356346.494856</v>
      </c>
      <c r="H148" s="2" t="n">
        <v>0</v>
      </c>
      <c r="I148" t="n">
        <v>0</v>
      </c>
    </row>
    <row r="149">
      <c r="A149" t="inlineStr">
        <is>
          <t>WA</t>
        </is>
      </c>
      <c r="B149" t="inlineStr">
        <is>
          <t>Large group</t>
        </is>
      </c>
      <c r="C149" t="n">
        <v>17</v>
      </c>
      <c r="D149" s="2" t="n">
        <v>17481532578.84311</v>
      </c>
      <c r="E149" s="2" t="n">
        <v>19395383105.47261</v>
      </c>
      <c r="F149" s="4">
        <f>IFERROR(D149/E149,"")</f>
        <v/>
      </c>
      <c r="G149" s="2" t="n">
        <v>6964986696.351847</v>
      </c>
      <c r="H149" s="2" t="n">
        <v>3275567.302573571</v>
      </c>
      <c r="I149" t="n">
        <v>1</v>
      </c>
    </row>
    <row r="150">
      <c r="A150" t="inlineStr">
        <is>
          <t>WA</t>
        </is>
      </c>
      <c r="B150" t="inlineStr">
        <is>
          <t>Small group</t>
        </is>
      </c>
      <c r="C150" t="n">
        <v>12</v>
      </c>
      <c r="D150" s="2" t="n">
        <v>3647952886.098478</v>
      </c>
      <c r="E150" s="2" t="n">
        <v>4173794153.452085</v>
      </c>
      <c r="F150" s="4">
        <f>IFERROR(D150/E150,"")</f>
        <v/>
      </c>
      <c r="G150" s="2" t="n">
        <v>1496428472.66554</v>
      </c>
      <c r="H150" s="2" t="n">
        <v>93395.24219999999</v>
      </c>
      <c r="I150" t="n">
        <v>1</v>
      </c>
    </row>
    <row r="151">
      <c r="A151" t="inlineStr">
        <is>
          <t>WI</t>
        </is>
      </c>
      <c r="B151" t="inlineStr">
        <is>
          <t>Individual</t>
        </is>
      </c>
      <c r="C151" t="n">
        <v>22</v>
      </c>
      <c r="D151" s="2" t="n">
        <v>4473093810.768529</v>
      </c>
      <c r="E151" s="2" t="n">
        <v>4920875849.869489</v>
      </c>
      <c r="F151" s="4">
        <f>IFERROR(D151/E151,"")</f>
        <v/>
      </c>
      <c r="G151" s="2" t="n">
        <v>1834157776.703964</v>
      </c>
      <c r="H151" s="2" t="n">
        <v>0</v>
      </c>
      <c r="I151" t="n">
        <v>0</v>
      </c>
    </row>
    <row r="152">
      <c r="A152" t="inlineStr">
        <is>
          <t>WI</t>
        </is>
      </c>
      <c r="B152" t="inlineStr">
        <is>
          <t>Large group</t>
        </is>
      </c>
      <c r="C152" t="n">
        <v>28</v>
      </c>
      <c r="D152" s="2" t="n">
        <v>15420554530.77481</v>
      </c>
      <c r="E152" s="2" t="n">
        <v>16793850620.03351</v>
      </c>
      <c r="F152" s="4">
        <f>IFERROR(D152/E152,"")</f>
        <v/>
      </c>
      <c r="G152" s="2" t="n">
        <v>6080968440.85</v>
      </c>
      <c r="H152" s="2" t="n">
        <v>3280886.1154</v>
      </c>
      <c r="I152" t="n">
        <v>1</v>
      </c>
    </row>
    <row r="153">
      <c r="A153" t="inlineStr">
        <is>
          <t>WI</t>
        </is>
      </c>
      <c r="B153" t="inlineStr">
        <is>
          <t>Small group</t>
        </is>
      </c>
      <c r="C153" t="n">
        <v>24</v>
      </c>
      <c r="D153" s="2" t="n">
        <v>2628024306.948146</v>
      </c>
      <c r="E153" s="2" t="n">
        <v>3081960650.044815</v>
      </c>
      <c r="F153" s="4">
        <f>IFERROR(D153/E153,"")</f>
        <v/>
      </c>
      <c r="G153" s="2" t="n">
        <v>1035839125.566</v>
      </c>
      <c r="H153" s="2" t="n">
        <v>10520240.5673</v>
      </c>
      <c r="I153" t="n">
        <v>3</v>
      </c>
    </row>
    <row r="154">
      <c r="A154" t="inlineStr">
        <is>
          <t>WV</t>
        </is>
      </c>
      <c r="B154" t="inlineStr">
        <is>
          <t>Individual</t>
        </is>
      </c>
      <c r="C154" t="n">
        <v>8</v>
      </c>
      <c r="D154" s="2" t="n">
        <v>760094698.0528622</v>
      </c>
      <c r="E154" s="2" t="n">
        <v>920690971.3537802</v>
      </c>
      <c r="F154" s="4">
        <f>IFERROR(D154/E154,"")</f>
        <v/>
      </c>
      <c r="G154" s="2" t="n">
        <v>421786350.8720105</v>
      </c>
      <c r="H154" s="2" t="n">
        <v>0</v>
      </c>
      <c r="I154" t="n">
        <v>0</v>
      </c>
    </row>
    <row r="155">
      <c r="A155" t="inlineStr">
        <is>
          <t>WV</t>
        </is>
      </c>
      <c r="B155" t="inlineStr">
        <is>
          <t>Large group</t>
        </is>
      </c>
      <c r="C155" t="n">
        <v>9</v>
      </c>
      <c r="D155" s="2" t="n">
        <v>2740607819.164291</v>
      </c>
      <c r="E155" s="2" t="n">
        <v>2906264566.356493</v>
      </c>
      <c r="F155" s="4">
        <f>IFERROR(D155/E155,"")</f>
        <v/>
      </c>
      <c r="G155" s="2" t="n">
        <v>1043670079.038609</v>
      </c>
      <c r="H155" s="2" t="n">
        <v>0</v>
      </c>
      <c r="I155" t="n">
        <v>0</v>
      </c>
    </row>
    <row r="156">
      <c r="A156" t="inlineStr">
        <is>
          <t>WV</t>
        </is>
      </c>
      <c r="B156" t="inlineStr">
        <is>
          <t>Small group</t>
        </is>
      </c>
      <c r="C156" t="n">
        <v>6</v>
      </c>
      <c r="D156" s="2" t="n">
        <v>616023431.815405</v>
      </c>
      <c r="E156" s="2" t="n">
        <v>702255305.3713061</v>
      </c>
      <c r="F156" s="4">
        <f>IFERROR(D156/E156,"")</f>
        <v/>
      </c>
      <c r="G156" s="2" t="n">
        <v>244695136.2107097</v>
      </c>
      <c r="H156" s="2" t="n">
        <v>0</v>
      </c>
      <c r="I156" t="n">
        <v>0</v>
      </c>
    </row>
    <row r="157">
      <c r="A157" t="inlineStr">
        <is>
          <t>WY</t>
        </is>
      </c>
      <c r="B157" t="inlineStr">
        <is>
          <t>Individual</t>
        </is>
      </c>
      <c r="C157" t="n">
        <v>7</v>
      </c>
      <c r="D157" s="2" t="n">
        <v>1008171771.0047</v>
      </c>
      <c r="E157" s="2" t="n">
        <v>1074948181.174957</v>
      </c>
      <c r="F157" s="4">
        <f>IFERROR(D157/E157,"")</f>
        <v/>
      </c>
      <c r="G157" s="2" t="n">
        <v>432356948.96</v>
      </c>
      <c r="H157" s="2" t="n">
        <v>0</v>
      </c>
      <c r="I157" t="n">
        <v>0</v>
      </c>
    </row>
    <row r="158">
      <c r="A158" t="inlineStr">
        <is>
          <t>WY</t>
        </is>
      </c>
      <c r="B158" t="inlineStr">
        <is>
          <t>Large group</t>
        </is>
      </c>
      <c r="C158" t="n">
        <v>7</v>
      </c>
      <c r="D158" s="2" t="n">
        <v>634369452.5479417</v>
      </c>
      <c r="E158" s="2" t="n">
        <v>660212384.1801972</v>
      </c>
      <c r="F158" s="4">
        <f>IFERROR(D158/E158,"")</f>
        <v/>
      </c>
      <c r="G158" s="2" t="n">
        <v>235641704.43</v>
      </c>
      <c r="H158" s="2" t="n">
        <v>502978.4669737396</v>
      </c>
      <c r="I158" t="n">
        <v>2</v>
      </c>
    </row>
    <row r="159">
      <c r="A159" t="inlineStr">
        <is>
          <t>WY</t>
        </is>
      </c>
      <c r="B159" t="inlineStr">
        <is>
          <t>Small group</t>
        </is>
      </c>
      <c r="C159" t="n">
        <v>5</v>
      </c>
      <c r="D159" s="2" t="n">
        <v>300068332.769459</v>
      </c>
      <c r="E159" s="2" t="n">
        <v>338924506.5916668</v>
      </c>
      <c r="F159" s="4">
        <f>IFERROR(D159/E159,"")</f>
        <v/>
      </c>
      <c r="G159" s="2" t="n">
        <v>121376221.73</v>
      </c>
      <c r="H159" s="2" t="n">
        <v>826755.9377</v>
      </c>
      <c r="I159" t="n">
        <v>1</v>
      </c>
    </row>
  </sheetData>
  <autoFilter ref="A1:I1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4" customWidth="1" min="4" max="4"/>
    <col width="14" customWidth="1" min="5" max="5"/>
    <col width="16" customWidth="1" min="6" max="6"/>
    <col width="8" customWidth="1" min="7" max="7"/>
    <col width="14" customWidth="1" min="8" max="8"/>
    <col width="14" customWidth="1" min="9" max="9"/>
    <col width="20" customWidth="1" min="10" max="10"/>
  </cols>
  <sheetData>
    <row r="1">
      <c r="A1" s="3" t="inlineStr">
        <is>
          <t>State</t>
        </is>
      </c>
      <c r="B1" s="3" t="inlineStr">
        <is>
          <t>Market</t>
        </is>
      </c>
      <c r="C1" s="3" t="inlineStr">
        <is>
          <t>Company</t>
        </is>
      </c>
      <c r="D1" s="3" t="inlineStr">
        <is>
          <t>Adjusted MLR</t>
        </is>
      </c>
      <c r="E1" s="3" t="inlineStr">
        <is>
          <t>MLR standard</t>
        </is>
      </c>
      <c r="F1" s="3" t="inlineStr">
        <is>
          <t>Peer median MLR</t>
        </is>
      </c>
      <c r="G1" s="3" t="inlineStr">
        <is>
          <t>Peers</t>
        </is>
      </c>
      <c r="H1" s="3" t="inlineStr">
        <is>
          <t>Rank (high→low)</t>
        </is>
      </c>
      <c r="I1" s="3" t="inlineStr">
        <is>
          <t>Rebate</t>
        </is>
      </c>
      <c r="J1" s="3" t="inlineStr">
        <is>
          <t>Earned premium (yr)</t>
        </is>
      </c>
    </row>
    <row r="2">
      <c r="A2" t="inlineStr">
        <is>
          <t>IL</t>
        </is>
      </c>
      <c r="B2" t="inlineStr">
        <is>
          <t>Individual</t>
        </is>
      </c>
      <c r="C2" t="inlineStr">
        <is>
          <t>Health Care Service Corporation, a Mutual Legal Reserve Company</t>
        </is>
      </c>
      <c r="D2" s="4" t="n">
        <v>0.907</v>
      </c>
      <c r="E2" s="4" t="n">
        <v>0.8</v>
      </c>
      <c r="F2" s="4" t="n">
        <v>0.951</v>
      </c>
      <c r="G2" t="n">
        <v>11</v>
      </c>
      <c r="H2" t="n">
        <v>8</v>
      </c>
      <c r="I2" s="2" t="n">
        <v>0</v>
      </c>
      <c r="J2" s="2" t="n">
        <v>2050242614</v>
      </c>
    </row>
    <row r="3">
      <c r="A3" t="inlineStr">
        <is>
          <t>IL</t>
        </is>
      </c>
      <c r="B3" t="inlineStr">
        <is>
          <t>Large group</t>
        </is>
      </c>
      <c r="C3" t="inlineStr">
        <is>
          <t>Health Care Service Corporation, a Mutual Legal Reserve Company</t>
        </is>
      </c>
      <c r="D3" s="4" t="n">
        <v>0.948</v>
      </c>
      <c r="E3" s="4" t="n">
        <v>0.85</v>
      </c>
      <c r="F3" s="4" t="n">
        <v>0.921</v>
      </c>
      <c r="G3" t="n">
        <v>17</v>
      </c>
      <c r="H3" t="n">
        <v>6</v>
      </c>
      <c r="I3" s="2" t="n">
        <v>0</v>
      </c>
      <c r="J3" s="2" t="n">
        <v>8368535897</v>
      </c>
    </row>
    <row r="4">
      <c r="A4" t="inlineStr">
        <is>
          <t>IL</t>
        </is>
      </c>
      <c r="B4" t="inlineStr">
        <is>
          <t>Small group</t>
        </is>
      </c>
      <c r="C4" t="inlineStr">
        <is>
          <t>Health Care Service Corporation, a Mutual Legal Reserve Company</t>
        </is>
      </c>
      <c r="D4" s="4" t="n">
        <v>0.874</v>
      </c>
      <c r="E4" s="4" t="n">
        <v>0.8</v>
      </c>
      <c r="F4" s="4" t="n">
        <v>0.951</v>
      </c>
      <c r="G4" t="n">
        <v>9</v>
      </c>
      <c r="H4" t="n">
        <v>7</v>
      </c>
      <c r="I4" s="2" t="n">
        <v>0</v>
      </c>
      <c r="J4" s="2" t="n">
        <v>3053670161</v>
      </c>
    </row>
    <row r="5">
      <c r="A5" t="inlineStr">
        <is>
          <t>MT</t>
        </is>
      </c>
      <c r="B5" t="inlineStr">
        <is>
          <t>Individual</t>
        </is>
      </c>
      <c r="C5" t="inlineStr">
        <is>
          <t>Health Care Service Corporation, a Mutual Legal Reserve Company</t>
        </is>
      </c>
      <c r="D5" s="4" t="n">
        <v>0.873</v>
      </c>
      <c r="E5" s="4" t="n">
        <v>0.8</v>
      </c>
      <c r="F5" s="4" t="n">
        <v>0.949</v>
      </c>
      <c r="G5" t="n">
        <v>2</v>
      </c>
      <c r="H5" t="n">
        <v>3</v>
      </c>
      <c r="I5" s="2" t="n">
        <v>0</v>
      </c>
      <c r="J5" s="2" t="n">
        <v>185400799</v>
      </c>
    </row>
    <row r="6">
      <c r="A6" t="inlineStr">
        <is>
          <t>MT</t>
        </is>
      </c>
      <c r="B6" t="inlineStr">
        <is>
          <t>Large group</t>
        </is>
      </c>
      <c r="C6" t="inlineStr">
        <is>
          <t>Health Care Service Corporation, a Mutual Legal Reserve Company</t>
        </is>
      </c>
      <c r="D6" s="4" t="n">
        <v>0.9389999999999999</v>
      </c>
      <c r="E6" s="4" t="n">
        <v>0.85</v>
      </c>
      <c r="F6" s="4" t="n">
        <v>0.952</v>
      </c>
      <c r="G6" t="n">
        <v>3</v>
      </c>
      <c r="H6" t="n">
        <v>3</v>
      </c>
      <c r="I6" s="2" t="n">
        <v>0</v>
      </c>
      <c r="J6" s="2" t="n">
        <v>463821090</v>
      </c>
    </row>
    <row r="7">
      <c r="A7" t="inlineStr">
        <is>
          <t>MT</t>
        </is>
      </c>
      <c r="B7" t="inlineStr">
        <is>
          <t>Small group</t>
        </is>
      </c>
      <c r="C7" t="inlineStr">
        <is>
          <t>Health Care Service Corporation, a Mutual Legal Reserve Company</t>
        </is>
      </c>
      <c r="D7" s="4" t="n">
        <v>0.923</v>
      </c>
      <c r="E7" s="4" t="n">
        <v>0.8</v>
      </c>
      <c r="F7" s="4" t="n">
        <v>0.9389999999999999</v>
      </c>
      <c r="G7" t="n">
        <v>3</v>
      </c>
      <c r="H7" t="n">
        <v>3</v>
      </c>
      <c r="I7" s="2" t="n">
        <v>0</v>
      </c>
      <c r="J7" s="2" t="n">
        <v>165516975</v>
      </c>
    </row>
    <row r="8">
      <c r="A8" t="inlineStr">
        <is>
          <t>NM</t>
        </is>
      </c>
      <c r="B8" t="inlineStr">
        <is>
          <t>Individual</t>
        </is>
      </c>
      <c r="C8" t="inlineStr">
        <is>
          <t>Health Care Service Corporation, a Mutual Legal Reserve Company</t>
        </is>
      </c>
      <c r="D8" s="4" t="n">
        <v>0.927</v>
      </c>
      <c r="E8" s="4" t="n">
        <v>0.8</v>
      </c>
      <c r="F8" s="4" t="n">
        <v>0.756</v>
      </c>
      <c r="G8" t="n">
        <v>3</v>
      </c>
      <c r="H8" t="n">
        <v>2</v>
      </c>
      <c r="I8" s="2" t="n">
        <v>0</v>
      </c>
      <c r="J8" s="2" t="n">
        <v>155563716</v>
      </c>
    </row>
    <row r="9">
      <c r="A9" t="inlineStr">
        <is>
          <t>NM</t>
        </is>
      </c>
      <c r="B9" t="inlineStr">
        <is>
          <t>Large group</t>
        </is>
      </c>
      <c r="C9" t="inlineStr">
        <is>
          <t>Health Care Service Corporation, a Mutual Legal Reserve Company</t>
        </is>
      </c>
      <c r="D9" s="4" t="n">
        <v>0.958</v>
      </c>
      <c r="E9" s="4" t="n">
        <v>0.85</v>
      </c>
      <c r="F9" s="4" t="n">
        <v>0.9470000000000001</v>
      </c>
      <c r="G9" t="n">
        <v>4</v>
      </c>
      <c r="H9" t="n">
        <v>3</v>
      </c>
      <c r="I9" s="2" t="n">
        <v>0</v>
      </c>
      <c r="J9" s="2" t="n">
        <v>582998144</v>
      </c>
    </row>
    <row r="10">
      <c r="A10" t="inlineStr">
        <is>
          <t>NM</t>
        </is>
      </c>
      <c r="B10" t="inlineStr">
        <is>
          <t>Small group</t>
        </is>
      </c>
      <c r="C10" t="inlineStr">
        <is>
          <t>Health Care Service Corporation, a Mutual Legal Reserve Company</t>
        </is>
      </c>
      <c r="D10" s="4" t="n">
        <v>0.914</v>
      </c>
      <c r="E10" s="4" t="n">
        <v>0.8</v>
      </c>
      <c r="F10" s="4" t="n">
        <v>0.889</v>
      </c>
      <c r="G10" t="n">
        <v>3</v>
      </c>
      <c r="H10" t="n">
        <v>2</v>
      </c>
      <c r="I10" s="2" t="n">
        <v>0</v>
      </c>
      <c r="J10" s="2" t="n">
        <v>167623352</v>
      </c>
    </row>
    <row r="11">
      <c r="A11" t="inlineStr">
        <is>
          <t>OK</t>
        </is>
      </c>
      <c r="B11" t="inlineStr">
        <is>
          <t>Individual</t>
        </is>
      </c>
      <c r="C11" t="inlineStr">
        <is>
          <t>Health Care Service Corporation, a Mutual Legal Reserve Company</t>
        </is>
      </c>
      <c r="D11" s="4" t="n">
        <v>0.996</v>
      </c>
      <c r="E11" s="4" t="n">
        <v>0.8</v>
      </c>
      <c r="F11" s="4" t="n">
        <v>0.9045000000000001</v>
      </c>
      <c r="G11" t="n">
        <v>6</v>
      </c>
      <c r="H11" t="n">
        <v>3</v>
      </c>
      <c r="I11" s="2" t="n">
        <v>0</v>
      </c>
      <c r="J11" s="2" t="n">
        <v>1042665621</v>
      </c>
    </row>
    <row r="12">
      <c r="A12" t="inlineStr">
        <is>
          <t>OK</t>
        </is>
      </c>
      <c r="B12" t="inlineStr">
        <is>
          <t>Large group</t>
        </is>
      </c>
      <c r="C12" t="inlineStr">
        <is>
          <t>Health Care Service Corporation, a Mutual Legal Reserve Company</t>
        </is>
      </c>
      <c r="D12" s="4" t="n">
        <v>0.925</v>
      </c>
      <c r="E12" s="4" t="n">
        <v>0.85</v>
      </c>
      <c r="F12" s="4" t="n">
        <v>0.865</v>
      </c>
      <c r="G12" t="n">
        <v>7</v>
      </c>
      <c r="H12" t="n">
        <v>3</v>
      </c>
      <c r="I12" s="2" t="n">
        <v>0</v>
      </c>
      <c r="J12" s="2" t="n">
        <v>1899497820</v>
      </c>
    </row>
    <row r="13">
      <c r="A13" t="inlineStr">
        <is>
          <t>OK</t>
        </is>
      </c>
      <c r="B13" t="inlineStr">
        <is>
          <t>Small group</t>
        </is>
      </c>
      <c r="C13" t="inlineStr">
        <is>
          <t>Health Care Service Corporation, a Mutual Legal Reserve Company</t>
        </is>
      </c>
      <c r="D13" s="4" t="n">
        <v>0.85</v>
      </c>
      <c r="E13" s="4" t="n">
        <v>0.8</v>
      </c>
      <c r="F13" s="4" t="n">
        <v>0.9849999999999999</v>
      </c>
      <c r="G13" t="n">
        <v>4</v>
      </c>
      <c r="H13" t="n">
        <v>4</v>
      </c>
      <c r="I13" s="2" t="n">
        <v>0</v>
      </c>
      <c r="J13" s="2" t="n">
        <v>867494794</v>
      </c>
    </row>
    <row r="14">
      <c r="A14" t="inlineStr">
        <is>
          <t>TX</t>
        </is>
      </c>
      <c r="B14" t="inlineStr">
        <is>
          <t>Individual</t>
        </is>
      </c>
      <c r="C14" t="inlineStr">
        <is>
          <t>Health Care Service Corporation, a Mutual Legal Reserve Company</t>
        </is>
      </c>
      <c r="D14" s="4" t="n">
        <v>0.826</v>
      </c>
      <c r="E14" s="4" t="n">
        <v>0.8</v>
      </c>
      <c r="F14" s="4" t="n">
        <v>0.8585</v>
      </c>
      <c r="G14" t="n">
        <v>18</v>
      </c>
      <c r="H14" t="n">
        <v>14</v>
      </c>
      <c r="I14" s="2" t="n">
        <v>0</v>
      </c>
      <c r="J14" s="2" t="n">
        <v>5142816787</v>
      </c>
    </row>
    <row r="15">
      <c r="A15" t="inlineStr">
        <is>
          <t>TX</t>
        </is>
      </c>
      <c r="B15" t="inlineStr">
        <is>
          <t>Large group</t>
        </is>
      </c>
      <c r="C15" t="inlineStr">
        <is>
          <t>Health Care Service Corporation, a Mutual Legal Reserve Company</t>
        </is>
      </c>
      <c r="D15" s="4" t="n">
        <v>0.944</v>
      </c>
      <c r="E15" s="4" t="n">
        <v>0.85</v>
      </c>
      <c r="F15" s="4" t="n">
        <v>0.902</v>
      </c>
      <c r="G15" t="n">
        <v>14</v>
      </c>
      <c r="H15" t="n">
        <v>5</v>
      </c>
      <c r="I15" s="2" t="n">
        <v>0</v>
      </c>
      <c r="J15" s="2" t="n">
        <v>9446525310</v>
      </c>
    </row>
    <row r="16">
      <c r="A16" t="inlineStr">
        <is>
          <t>TX</t>
        </is>
      </c>
      <c r="B16" t="inlineStr">
        <is>
          <t>Small group</t>
        </is>
      </c>
      <c r="C16" t="inlineStr">
        <is>
          <t>Health Care Service Corporation, a Mutual Legal Reserve Company</t>
        </is>
      </c>
      <c r="D16" s="4" t="n">
        <v>0.88</v>
      </c>
      <c r="E16" s="4" t="n">
        <v>0.8</v>
      </c>
      <c r="F16" s="4" t="n">
        <v>0.838</v>
      </c>
      <c r="G16" t="n">
        <v>7</v>
      </c>
      <c r="H16" t="n">
        <v>3</v>
      </c>
      <c r="I16" s="2" t="n">
        <v>0</v>
      </c>
      <c r="J16" s="2" t="n">
        <v>4295667067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36" customWidth="1" min="3" max="3"/>
    <col width="16" customWidth="1" min="4" max="4"/>
    <col width="16" customWidth="1" min="5" max="5"/>
    <col width="18" customWidth="1" min="6" max="6"/>
    <col width="13" customWidth="1" min="7" max="7"/>
    <col width="16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3" customWidth="1" min="14" max="14"/>
    <col width="16" customWidth="1" min="15" max="15"/>
    <col width="18" customWidth="1" min="16" max="16"/>
    <col width="18" customWidth="1" min="17" max="17"/>
  </cols>
  <sheetData>
    <row r="1">
      <c r="A1" s="3" t="inlineStr">
        <is>
          <t>ID</t>
        </is>
      </c>
      <c r="B1" s="3" t="inlineStr">
        <is>
          <t>State</t>
        </is>
      </c>
      <c r="C1" s="3" t="inlineStr">
        <is>
          <t>Company</t>
        </is>
      </c>
      <c r="D1" s="3" t="inlineStr">
        <is>
          <t>Market</t>
        </is>
      </c>
      <c r="E1" s="3" t="inlineStr">
        <is>
          <t>Check</t>
        </is>
      </c>
      <c r="F1" s="3" t="inlineStr">
        <is>
          <t>Category</t>
        </is>
      </c>
      <c r="G1" s="3" t="inlineStr">
        <is>
          <t>Status</t>
        </is>
      </c>
      <c r="H1" s="3" t="inlineStr">
        <is>
          <t>Numerator</t>
        </is>
      </c>
      <c r="I1" s="3" t="inlineStr">
        <is>
          <t>Denominator</t>
        </is>
      </c>
      <c r="J1" s="3" t="inlineStr">
        <is>
          <t>Denominator (yr)</t>
        </is>
      </c>
      <c r="K1" s="3" t="inlineStr">
        <is>
          <t>Preliminary MLR</t>
        </is>
      </c>
      <c r="L1" s="3" t="inlineStr">
        <is>
          <t>Credibility adj.</t>
        </is>
      </c>
      <c r="M1" s="3" t="inlineStr">
        <is>
          <t>Adjusted MLR</t>
        </is>
      </c>
      <c r="N1" s="3" t="inlineStr">
        <is>
          <t>MLR standard</t>
        </is>
      </c>
      <c r="O1" s="3" t="inlineStr">
        <is>
          <t>Reported</t>
        </is>
      </c>
      <c r="P1" s="3" t="inlineStr">
        <is>
          <t>Expected (formula)</t>
        </is>
      </c>
      <c r="Q1" s="3" t="inlineStr">
        <is>
          <t>Difference (formula)</t>
        </is>
      </c>
    </row>
    <row r="2">
      <c r="A2" t="n">
        <v>10</v>
      </c>
      <c r="B2" t="inlineStr">
        <is>
          <t>MA</t>
        </is>
      </c>
      <c r="C2" t="inlineStr">
        <is>
          <t>Health New England, Inc</t>
        </is>
      </c>
      <c r="D2" t="inlineStr">
        <is>
          <t>Individual</t>
        </is>
      </c>
      <c r="E2" t="inlineStr">
        <is>
          <t>adjusted mlr</t>
        </is>
      </c>
      <c r="F2" t="inlineStr">
        <is>
          <t>implausible value</t>
        </is>
      </c>
      <c r="G2" t="inlineStr">
        <is>
          <t>open</t>
        </is>
      </c>
      <c r="H2" s="2" t="n">
        <v>636802829</v>
      </c>
      <c r="I2" s="2" t="n">
        <v>640649457</v>
      </c>
      <c r="J2" s="2" t="n">
        <v>206504714</v>
      </c>
      <c r="K2" t="n">
        <v>0.994</v>
      </c>
      <c r="L2" t="n">
        <v>0</v>
      </c>
      <c r="M2" t="n">
        <v>0</v>
      </c>
      <c r="N2" t="n">
        <v>0.88</v>
      </c>
      <c r="O2" s="5" t="n">
        <v>0</v>
      </c>
      <c r="P2" s="5">
        <f>K2+L2</f>
        <v/>
      </c>
      <c r="Q2" s="5">
        <f>IFERROR(O2-P2,"")</f>
        <v/>
      </c>
    </row>
    <row r="3">
      <c r="A3" t="n">
        <v>11</v>
      </c>
      <c r="B3" t="inlineStr">
        <is>
          <t>MA</t>
        </is>
      </c>
      <c r="C3" t="inlineStr">
        <is>
          <t>Health New England, Inc</t>
        </is>
      </c>
      <c r="D3" t="inlineStr">
        <is>
          <t>Individual</t>
        </is>
      </c>
      <c r="E3" t="inlineStr">
        <is>
          <t>rebate</t>
        </is>
      </c>
      <c r="F3" t="inlineStr">
        <is>
          <t>implausible value</t>
        </is>
      </c>
      <c r="G3" t="inlineStr">
        <is>
          <t>open</t>
        </is>
      </c>
      <c r="H3" s="2" t="n">
        <v>636802829</v>
      </c>
      <c r="I3" s="2" t="n">
        <v>640649457</v>
      </c>
      <c r="J3" s="2" t="n">
        <v>206504714</v>
      </c>
      <c r="K3" t="n">
        <v>0.994</v>
      </c>
      <c r="L3" t="n">
        <v>0</v>
      </c>
      <c r="M3" t="n">
        <v>0</v>
      </c>
      <c r="N3" t="n">
        <v>0.88</v>
      </c>
      <c r="O3" s="2" t="n">
        <v>0</v>
      </c>
      <c r="P3" s="2">
        <f>MAX(0,(N3-M3)*J3)</f>
        <v/>
      </c>
      <c r="Q3" s="2">
        <f>IFERROR(O3-P3,"")</f>
        <v/>
      </c>
    </row>
    <row r="4">
      <c r="A4" t="n">
        <v>12</v>
      </c>
      <c r="B4" t="inlineStr">
        <is>
          <t>MA</t>
        </is>
      </c>
      <c r="C4" t="inlineStr">
        <is>
          <t>Health New England, Inc</t>
        </is>
      </c>
      <c r="D4" t="inlineStr">
        <is>
          <t>Large group</t>
        </is>
      </c>
      <c r="E4" t="inlineStr">
        <is>
          <t>adjusted mlr</t>
        </is>
      </c>
      <c r="F4" t="inlineStr">
        <is>
          <t>implausible value</t>
        </is>
      </c>
      <c r="G4" t="inlineStr">
        <is>
          <t>open</t>
        </is>
      </c>
      <c r="H4" s="2" t="n">
        <v>628320352</v>
      </c>
      <c r="I4" s="2" t="n">
        <v>693444157</v>
      </c>
      <c r="J4" s="2" t="n">
        <v>225713645</v>
      </c>
      <c r="K4" t="n">
        <v>0.906</v>
      </c>
      <c r="L4" t="n">
        <v>0</v>
      </c>
      <c r="M4" t="n">
        <v>0</v>
      </c>
      <c r="N4" t="n">
        <v>0.88</v>
      </c>
      <c r="O4" s="5" t="n">
        <v>0</v>
      </c>
      <c r="P4" s="5">
        <f>K4+L4</f>
        <v/>
      </c>
      <c r="Q4" s="5">
        <f>IFERROR(O4-P4,"")</f>
        <v/>
      </c>
    </row>
    <row r="5">
      <c r="A5" t="n">
        <v>13</v>
      </c>
      <c r="B5" t="inlineStr">
        <is>
          <t>MA</t>
        </is>
      </c>
      <c r="C5" t="inlineStr">
        <is>
          <t>Health New England, Inc</t>
        </is>
      </c>
      <c r="D5" t="inlineStr">
        <is>
          <t>Large group</t>
        </is>
      </c>
      <c r="E5" t="inlineStr">
        <is>
          <t>rebate</t>
        </is>
      </c>
      <c r="F5" t="inlineStr">
        <is>
          <t>implausible value</t>
        </is>
      </c>
      <c r="G5" t="inlineStr">
        <is>
          <t>open</t>
        </is>
      </c>
      <c r="H5" s="2" t="n">
        <v>628320352</v>
      </c>
      <c r="I5" s="2" t="n">
        <v>693444157</v>
      </c>
      <c r="J5" s="2" t="n">
        <v>225713645</v>
      </c>
      <c r="K5" t="n">
        <v>0.906</v>
      </c>
      <c r="L5" t="n">
        <v>0</v>
      </c>
      <c r="M5" t="n">
        <v>0</v>
      </c>
      <c r="N5" t="n">
        <v>0.88</v>
      </c>
      <c r="O5" s="2" t="n">
        <v>0</v>
      </c>
      <c r="P5" s="2">
        <f>MAX(0,(N5-M5)*J5)</f>
        <v/>
      </c>
      <c r="Q5" s="2">
        <f>IFERROR(O5-P5,"")</f>
        <v/>
      </c>
    </row>
    <row r="6">
      <c r="A6" t="n">
        <v>14</v>
      </c>
      <c r="B6" t="inlineStr">
        <is>
          <t>MA</t>
        </is>
      </c>
      <c r="C6" t="inlineStr">
        <is>
          <t>Health New England, Inc</t>
        </is>
      </c>
      <c r="D6" t="inlineStr">
        <is>
          <t>Small group</t>
        </is>
      </c>
      <c r="E6" t="inlineStr">
        <is>
          <t>adjusted mlr</t>
        </is>
      </c>
      <c r="F6" t="inlineStr">
        <is>
          <t>implausible value</t>
        </is>
      </c>
      <c r="G6" t="inlineStr">
        <is>
          <t>open</t>
        </is>
      </c>
      <c r="H6" s="2" t="n">
        <v>636802829</v>
      </c>
      <c r="I6" s="2" t="n">
        <v>640649457</v>
      </c>
      <c r="J6" s="2" t="n">
        <v>206504714</v>
      </c>
      <c r="K6" t="n">
        <v>0.994</v>
      </c>
      <c r="L6" t="n">
        <v>0</v>
      </c>
      <c r="M6" t="n">
        <v>0</v>
      </c>
      <c r="N6" t="n">
        <v>0.88</v>
      </c>
      <c r="O6" s="5" t="n">
        <v>0</v>
      </c>
      <c r="P6" s="5">
        <f>K6+L6</f>
        <v/>
      </c>
      <c r="Q6" s="5">
        <f>IFERROR(O6-P6,"")</f>
        <v/>
      </c>
    </row>
    <row r="7">
      <c r="A7" t="n">
        <v>15</v>
      </c>
      <c r="B7" t="inlineStr">
        <is>
          <t>MA</t>
        </is>
      </c>
      <c r="C7" t="inlineStr">
        <is>
          <t>Health New England, Inc</t>
        </is>
      </c>
      <c r="D7" t="inlineStr">
        <is>
          <t>Small group</t>
        </is>
      </c>
      <c r="E7" t="inlineStr">
        <is>
          <t>rebate</t>
        </is>
      </c>
      <c r="F7" t="inlineStr">
        <is>
          <t>implausible value</t>
        </is>
      </c>
      <c r="G7" t="inlineStr">
        <is>
          <t>open</t>
        </is>
      </c>
      <c r="H7" s="2" t="n">
        <v>636802829</v>
      </c>
      <c r="I7" s="2" t="n">
        <v>640649457</v>
      </c>
      <c r="J7" s="2" t="n">
        <v>206504714</v>
      </c>
      <c r="K7" t="n">
        <v>0.994</v>
      </c>
      <c r="L7" t="n">
        <v>0</v>
      </c>
      <c r="M7" t="n">
        <v>0</v>
      </c>
      <c r="N7" t="n">
        <v>0.88</v>
      </c>
      <c r="O7" s="2" t="n">
        <v>0</v>
      </c>
      <c r="P7" s="2">
        <f>MAX(0,(N7-M7)*J7)</f>
        <v/>
      </c>
      <c r="Q7" s="2">
        <f>IFERROR(O7-P7,"")</f>
        <v/>
      </c>
    </row>
    <row r="8">
      <c r="A8" t="n">
        <v>4</v>
      </c>
      <c r="B8" t="inlineStr">
        <is>
          <t>CA</t>
        </is>
      </c>
      <c r="C8" t="inlineStr">
        <is>
          <t>Health Net Life Insurance Company</t>
        </is>
      </c>
      <c r="D8" t="inlineStr">
        <is>
          <t>Individual</t>
        </is>
      </c>
      <c r="E8" t="inlineStr">
        <is>
          <t>rebate</t>
        </is>
      </c>
      <c r="F8" t="inlineStr">
        <is>
          <t>nonpositive premium</t>
        </is>
      </c>
      <c r="G8" t="inlineStr">
        <is>
          <t>open</t>
        </is>
      </c>
      <c r="H8" s="2" t="n">
        <v>667181677.656963</v>
      </c>
      <c r="I8" s="2" t="n">
        <v>718762027.4847317</v>
      </c>
      <c r="J8" s="2" t="n">
        <v>-1857070.852184504</v>
      </c>
      <c r="K8" t="n">
        <v>0.928237235892565</v>
      </c>
      <c r="L8" t="n">
        <v>0</v>
      </c>
      <c r="M8" t="n">
        <v>0.928</v>
      </c>
      <c r="N8" t="n">
        <v>0.8</v>
      </c>
      <c r="O8" s="2" t="n">
        <v>0</v>
      </c>
      <c r="P8" s="2">
        <f>MAX(0,(N8-M8)*J8)</f>
        <v/>
      </c>
      <c r="Q8" s="2">
        <f>IFERROR(O8-P8,"")</f>
        <v/>
      </c>
    </row>
    <row r="9">
      <c r="A9" t="n">
        <v>17</v>
      </c>
      <c r="B9" t="inlineStr">
        <is>
          <t>CO</t>
        </is>
      </c>
      <c r="C9" t="inlineStr">
        <is>
          <t>Denver Health Medical Plan, Inc.</t>
        </is>
      </c>
      <c r="D9" t="inlineStr">
        <is>
          <t>Large group</t>
        </is>
      </c>
      <c r="E9" t="inlineStr">
        <is>
          <t>rebate</t>
        </is>
      </c>
      <c r="F9" t="inlineStr">
        <is>
          <t>nonpositive premium</t>
        </is>
      </c>
      <c r="G9" t="inlineStr">
        <is>
          <t>open</t>
        </is>
      </c>
      <c r="H9" s="2" t="n">
        <v>172010621.3606699</v>
      </c>
      <c r="I9" s="2" t="n">
        <v>174357296.91</v>
      </c>
      <c r="J9" s="2" t="n">
        <v>-113062</v>
      </c>
      <c r="K9" t="n">
        <v>0.986540996041356</v>
      </c>
      <c r="L9" t="n">
        <v>0.015683613333333</v>
      </c>
      <c r="M9" t="n">
        <v>1.002</v>
      </c>
      <c r="N9" t="n">
        <v>0.85</v>
      </c>
      <c r="O9" s="2" t="n">
        <v>0</v>
      </c>
      <c r="P9" s="2">
        <f>MAX(0,(N9-M9)*J9)</f>
        <v/>
      </c>
      <c r="Q9" s="2">
        <f>IFERROR(O9-P9,"")</f>
        <v/>
      </c>
    </row>
    <row r="10">
      <c r="A10" t="n">
        <v>16</v>
      </c>
      <c r="B10" t="inlineStr">
        <is>
          <t>CO</t>
        </is>
      </c>
      <c r="C10" t="inlineStr">
        <is>
          <t>Oscar Insurance Company</t>
        </is>
      </c>
      <c r="D10" t="inlineStr">
        <is>
          <t>Individual</t>
        </is>
      </c>
      <c r="E10" t="inlineStr">
        <is>
          <t>rebate</t>
        </is>
      </c>
      <c r="F10" t="inlineStr">
        <is>
          <t>nonpositive premium</t>
        </is>
      </c>
      <c r="G10" t="inlineStr">
        <is>
          <t>open</t>
        </is>
      </c>
      <c r="H10" s="2" t="n">
        <v>27530142.28442</v>
      </c>
      <c r="I10" s="2" t="n">
        <v>26752835.68</v>
      </c>
      <c r="J10" s="2" t="n">
        <v>-20891.32000000002</v>
      </c>
      <c r="K10" t="n">
        <v>1.029055110782186</v>
      </c>
      <c r="L10" t="n">
        <v>0.034317466666667</v>
      </c>
      <c r="M10" t="n">
        <v>1.063</v>
      </c>
      <c r="N10" t="n">
        <v>0.8</v>
      </c>
      <c r="O10" s="2" t="n">
        <v>0</v>
      </c>
      <c r="P10" s="2">
        <f>MAX(0,(N10-M10)*J10)</f>
        <v/>
      </c>
      <c r="Q10" s="2">
        <f>IFERROR(O10-P10,"")</f>
        <v/>
      </c>
    </row>
    <row r="11">
      <c r="A11" t="n">
        <v>3</v>
      </c>
      <c r="B11" t="inlineStr">
        <is>
          <t>CO</t>
        </is>
      </c>
      <c r="C11" t="inlineStr">
        <is>
          <t>Rocky Mountain Health Maintenance Organization, Inc.</t>
        </is>
      </c>
      <c r="D11" t="inlineStr">
        <is>
          <t>Large group</t>
        </is>
      </c>
      <c r="E11" t="inlineStr">
        <is>
          <t>rebate</t>
        </is>
      </c>
      <c r="F11" t="inlineStr">
        <is>
          <t>nonpositive premium</t>
        </is>
      </c>
      <c r="G11" t="inlineStr">
        <is>
          <t>open</t>
        </is>
      </c>
      <c r="H11" s="2" t="n">
        <v>18405734.17</v>
      </c>
      <c r="I11" s="2" t="n">
        <v>18106950.69</v>
      </c>
      <c r="J11" s="2" t="n">
        <v>-14956.29</v>
      </c>
      <c r="K11" t="n">
        <v>1.01650103792269</v>
      </c>
      <c r="L11" t="n">
        <v>0.049795</v>
      </c>
      <c r="M11" t="n">
        <v>1.066</v>
      </c>
      <c r="N11" t="n">
        <v>0.85</v>
      </c>
      <c r="O11" s="2" t="n">
        <v>0</v>
      </c>
      <c r="P11" s="2">
        <f>MAX(0,(N11-M11)*J11)</f>
        <v/>
      </c>
      <c r="Q11" s="2">
        <f>IFERROR(O11-P11,"")</f>
        <v/>
      </c>
    </row>
    <row r="12">
      <c r="A12" t="n">
        <v>7</v>
      </c>
      <c r="B12" t="inlineStr">
        <is>
          <t>CO</t>
        </is>
      </c>
      <c r="C12" t="inlineStr">
        <is>
          <t>Rocky Mountain Hospital and Medical Service, Inc., dba Anthem Blue Cross and Blue Shield</t>
        </is>
      </c>
      <c r="D12" t="inlineStr">
        <is>
          <t>shp_individual</t>
        </is>
      </c>
      <c r="E12" t="inlineStr">
        <is>
          <t>adjusted mlr</t>
        </is>
      </c>
      <c r="F12" t="inlineStr">
        <is>
          <t>nonpositive premium</t>
        </is>
      </c>
      <c r="G12" t="inlineStr">
        <is>
          <t>open</t>
        </is>
      </c>
      <c r="H12" s="2" t="n">
        <v>0</v>
      </c>
      <c r="I12" s="2" t="n">
        <v>0</v>
      </c>
      <c r="J12" s="2" t="n">
        <v>0</v>
      </c>
      <c r="K12" t="n">
        <v>0.874206270961987</v>
      </c>
      <c r="L12" t="n">
        <v>0</v>
      </c>
      <c r="M12" t="n">
        <v>0.888</v>
      </c>
      <c r="N12" t="n">
        <v>0.8</v>
      </c>
      <c r="O12" s="5" t="n">
        <v>0.888</v>
      </c>
      <c r="P12" s="5">
        <f>K12+L12</f>
        <v/>
      </c>
      <c r="Q12" s="5">
        <f>IFERROR(O12-P12,"")</f>
        <v/>
      </c>
    </row>
    <row r="13">
      <c r="A13" t="n">
        <v>8</v>
      </c>
      <c r="B13" t="inlineStr">
        <is>
          <t>MI</t>
        </is>
      </c>
      <c r="C13" t="inlineStr">
        <is>
          <t>Total Health Care USA, Inc.</t>
        </is>
      </c>
      <c r="D13" t="inlineStr">
        <is>
          <t>Large group</t>
        </is>
      </c>
      <c r="E13" t="inlineStr">
        <is>
          <t>rebate</t>
        </is>
      </c>
      <c r="F13" t="inlineStr">
        <is>
          <t>nonpositive premium</t>
        </is>
      </c>
      <c r="G13" t="inlineStr">
        <is>
          <t>open</t>
        </is>
      </c>
      <c r="H13" s="2" t="n">
        <v>81156290.42121121</v>
      </c>
      <c r="I13" s="2" t="n">
        <v>78263220.43514875</v>
      </c>
      <c r="J13" s="2" t="n">
        <v>-116986</v>
      </c>
      <c r="K13" t="n">
        <v>1.03696589496288</v>
      </c>
      <c r="L13" t="n">
        <v>0.020516666666667</v>
      </c>
      <c r="M13" t="n">
        <v>1.057</v>
      </c>
      <c r="N13" t="n">
        <v>0.85</v>
      </c>
      <c r="O13" s="2" t="n">
        <v>0</v>
      </c>
      <c r="P13" s="2">
        <f>MAX(0,(N13-M13)*J13)</f>
        <v/>
      </c>
      <c r="Q13" s="2">
        <f>IFERROR(O13-P13,"")</f>
        <v/>
      </c>
    </row>
    <row r="14">
      <c r="A14" t="n">
        <v>9</v>
      </c>
      <c r="B14" t="inlineStr">
        <is>
          <t>MI</t>
        </is>
      </c>
      <c r="C14" t="inlineStr">
        <is>
          <t>Total Health Care USA, Inc.</t>
        </is>
      </c>
      <c r="D14" t="inlineStr">
        <is>
          <t>Small group</t>
        </is>
      </c>
      <c r="E14" t="inlineStr">
        <is>
          <t>rebate</t>
        </is>
      </c>
      <c r="F14" t="inlineStr">
        <is>
          <t>nonpositive premium</t>
        </is>
      </c>
      <c r="G14" t="inlineStr">
        <is>
          <t>open</t>
        </is>
      </c>
      <c r="H14" s="2" t="n">
        <v>17046550.4667088</v>
      </c>
      <c r="I14" s="2" t="n">
        <v>20357044</v>
      </c>
      <c r="J14" s="2" t="n">
        <v>-32032</v>
      </c>
      <c r="K14" t="n">
        <v>0.837378475318362</v>
      </c>
      <c r="L14" t="n">
        <v>0.041482</v>
      </c>
      <c r="M14" t="n">
        <v>0.879</v>
      </c>
      <c r="N14" t="n">
        <v>0.8</v>
      </c>
      <c r="O14" s="2" t="n">
        <v>0</v>
      </c>
      <c r="P14" s="2">
        <f>MAX(0,(N14-M14)*J14)</f>
        <v/>
      </c>
      <c r="Q14" s="2">
        <f>IFERROR(O14-P14,"")</f>
        <v/>
      </c>
    </row>
    <row r="15">
      <c r="A15" t="n">
        <v>6</v>
      </c>
      <c r="B15" t="inlineStr">
        <is>
          <t>NC</t>
        </is>
      </c>
      <c r="C15" t="inlineStr">
        <is>
          <t>Aetna Health Inc. (a Pennsylvania corporation)</t>
        </is>
      </c>
      <c r="D15" t="inlineStr">
        <is>
          <t>Large group</t>
        </is>
      </c>
      <c r="E15" t="inlineStr">
        <is>
          <t>rebate</t>
        </is>
      </c>
      <c r="F15" t="inlineStr">
        <is>
          <t>nonpositive premium</t>
        </is>
      </c>
      <c r="G15" t="inlineStr">
        <is>
          <t>open</t>
        </is>
      </c>
      <c r="H15" s="2" t="n">
        <v>26859909.14</v>
      </c>
      <c r="I15" s="2" t="n">
        <v>19643192.86282</v>
      </c>
      <c r="J15" s="2" t="n">
        <v>-5112804.177180001</v>
      </c>
      <c r="K15" t="n">
        <v>1.367390185881622</v>
      </c>
      <c r="L15" t="n">
        <v>0.044260486097971</v>
      </c>
      <c r="M15" t="n">
        <v>1.412</v>
      </c>
      <c r="N15" t="n">
        <v>0.85</v>
      </c>
      <c r="O15" s="2" t="n">
        <v>0</v>
      </c>
      <c r="P15" s="2">
        <f>MAX(0,(N15-M15)*J15)</f>
        <v/>
      </c>
      <c r="Q15" s="2">
        <f>IFERROR(O15-P15,"")</f>
        <v/>
      </c>
    </row>
    <row r="16">
      <c r="A16" t="n">
        <v>5</v>
      </c>
      <c r="B16" t="inlineStr">
        <is>
          <t>NJ</t>
        </is>
      </c>
      <c r="C16" t="inlineStr">
        <is>
          <t>AmeriHealth HMO, Inc.</t>
        </is>
      </c>
      <c r="D16" t="inlineStr">
        <is>
          <t>Individual</t>
        </is>
      </c>
      <c r="E16" t="inlineStr">
        <is>
          <t>rebate</t>
        </is>
      </c>
      <c r="F16" t="inlineStr">
        <is>
          <t>nonpositive premium</t>
        </is>
      </c>
      <c r="G16" t="inlineStr">
        <is>
          <t>open</t>
        </is>
      </c>
      <c r="H16" s="2" t="n">
        <v>86865069</v>
      </c>
      <c r="I16" s="2" t="n">
        <v>105230608</v>
      </c>
      <c r="J16" s="2" t="n">
        <v>-221894</v>
      </c>
      <c r="K16" t="n">
        <v>0.825</v>
      </c>
      <c r="L16" t="n">
        <v>0.022</v>
      </c>
      <c r="M16" t="n">
        <v>0.847</v>
      </c>
      <c r="N16" t="n">
        <v>0.8</v>
      </c>
      <c r="O16" s="2" t="n">
        <v>0</v>
      </c>
      <c r="P16" s="2">
        <f>MAX(0,(N16-M16)*J16)</f>
        <v/>
      </c>
      <c r="Q16" s="2">
        <f>IFERROR(O16-P16,"")</f>
        <v/>
      </c>
    </row>
    <row r="17">
      <c r="A17" t="n">
        <v>18</v>
      </c>
      <c r="B17" t="inlineStr">
        <is>
          <t>CA</t>
        </is>
      </c>
      <c r="C17" t="inlineStr">
        <is>
          <t>County of Santa Clara</t>
        </is>
      </c>
      <c r="D17" t="inlineStr">
        <is>
          <t>Individual</t>
        </is>
      </c>
      <c r="E17" t="inlineStr">
        <is>
          <t>adjusted mlr</t>
        </is>
      </c>
      <c r="F17" t="inlineStr">
        <is>
          <t>unexplained</t>
        </is>
      </c>
      <c r="G17" t="inlineStr">
        <is>
          <t>open</t>
        </is>
      </c>
      <c r="H17" s="2" t="n">
        <v>391603292.2525176</v>
      </c>
      <c r="I17" s="2" t="n">
        <v>433490425.3200006</v>
      </c>
      <c r="J17" s="2" t="n">
        <v>152147250.9300006</v>
      </c>
      <c r="K17" t="n">
        <v>0.90337241465815</v>
      </c>
      <c r="L17" t="n">
        <v>0</v>
      </c>
      <c r="M17" t="n">
        <v>0.919</v>
      </c>
      <c r="N17" t="n">
        <v>0.8</v>
      </c>
      <c r="O17" s="5" t="n">
        <v>0.919</v>
      </c>
      <c r="P17" s="5">
        <f>K17+L17</f>
        <v/>
      </c>
      <c r="Q17" s="5">
        <f>IFERROR(O17-P17,"")</f>
        <v/>
      </c>
    </row>
    <row r="18">
      <c r="A18" t="n">
        <v>1</v>
      </c>
      <c r="B18" t="inlineStr">
        <is>
          <t>MT</t>
        </is>
      </c>
      <c r="C18" t="inlineStr">
        <is>
          <t>Allegiance Life &amp; Health Insurance Company, Inc.</t>
        </is>
      </c>
      <c r="D18" t="inlineStr">
        <is>
          <t>Large group</t>
        </is>
      </c>
      <c r="E18" t="inlineStr">
        <is>
          <t>adjusted mlr</t>
        </is>
      </c>
      <c r="F18" t="inlineStr">
        <is>
          <t>unexplained</t>
        </is>
      </c>
      <c r="G18" t="inlineStr">
        <is>
          <t>open</t>
        </is>
      </c>
      <c r="H18" s="2" t="n">
        <v>24886985</v>
      </c>
      <c r="I18" s="2" t="n">
        <v>27345072</v>
      </c>
      <c r="J18" s="2" t="n">
        <v>2382927</v>
      </c>
      <c r="K18" t="n">
        <v>0.910108592875528</v>
      </c>
      <c r="L18" t="n">
        <v>0.04648859368</v>
      </c>
      <c r="M18" t="n">
        <v>0.952</v>
      </c>
      <c r="N18" t="n">
        <v>0.85</v>
      </c>
      <c r="O18" s="5" t="n">
        <v>0.952</v>
      </c>
      <c r="P18" s="5">
        <f>K18+L18</f>
        <v/>
      </c>
      <c r="Q18" s="5">
        <f>IFERROR(O18-P18,"")</f>
        <v/>
      </c>
    </row>
    <row r="19">
      <c r="A19" t="n">
        <v>2</v>
      </c>
      <c r="B19" t="inlineStr">
        <is>
          <t>PR</t>
        </is>
      </c>
      <c r="C19" t="inlineStr">
        <is>
          <t>Ryder Health Plan, Inc.</t>
        </is>
      </c>
      <c r="D19" t="inlineStr">
        <is>
          <t>Large group</t>
        </is>
      </c>
      <c r="E19" t="inlineStr">
        <is>
          <t>adjusted mlr</t>
        </is>
      </c>
      <c r="F19" t="inlineStr">
        <is>
          <t>unexplained</t>
        </is>
      </c>
      <c r="G19" t="inlineStr">
        <is>
          <t>open</t>
        </is>
      </c>
      <c r="H19" s="2" t="n">
        <v>1401492.77</v>
      </c>
      <c r="I19" s="2" t="n">
        <v>907029.8731792622</v>
      </c>
      <c r="J19" s="2" t="n">
        <v>230873.7231792622</v>
      </c>
      <c r="K19" t="n">
        <v>1.545145106508542</v>
      </c>
      <c r="L19" t="n">
        <v>0.069595944444444</v>
      </c>
      <c r="M19" t="n">
        <v>1.613</v>
      </c>
      <c r="N19" t="n">
        <v>0.85</v>
      </c>
      <c r="O19" s="5" t="n">
        <v>1.613</v>
      </c>
      <c r="P19" s="5">
        <f>K19+L19</f>
        <v/>
      </c>
      <c r="Q19" s="5">
        <f>IFERROR(O19-P19,"")</f>
        <v/>
      </c>
    </row>
  </sheetData>
  <autoFilter ref="A1:Q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2026-10-18T22:51:12Z</dcterms:created>
  <dcterms:modified xsi:type="dcterms:W3CDTF">2026-10-18T22:51:13Z</dcterms:modified>
</cp:coreProperties>
</file>