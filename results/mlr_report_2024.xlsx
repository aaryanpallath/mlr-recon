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State" sheetId="2" state="visible" r:id="rId2"/>
    <sheet name="Peer View" sheetId="3" state="visible" r:id="rId3"/>
    <sheet name="Exceptions" sheetId="4" state="visible" r:id="rId4"/>
  </sheets>
  <definedNames>
    <definedName name="_xlnm._FilterDatabase" localSheetId="1" hidden="1">'By State'!$A$1:$I$159</definedName>
    <definedName name="_xlnm._FilterDatabase" localSheetId="3" hidden="1">'Exceptions'!$A$1:$Q$19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MLR reconciliation — reporting year 2024</t>
        </is>
      </c>
    </row>
    <row r="2">
      <c r="A2" t="inlineStr">
        <is>
          <t>Source: CMS Medical Loss Ratio public use file (state filings; company roll-ups excluded)</t>
        </is>
      </c>
    </row>
    <row r="4">
      <c r="A4" t="inlineStr">
        <is>
          <t>Filings with rebate data</t>
        </is>
      </c>
      <c r="B4" t="n">
        <v>1271</v>
      </c>
    </row>
    <row r="5">
      <c r="A5" t="inlineStr">
        <is>
          <t>Market filings owing rebates</t>
        </is>
      </c>
      <c r="B5" t="n">
        <v>219</v>
      </c>
    </row>
    <row r="6">
      <c r="A6" t="inlineStr">
        <is>
          <t>Total rebates reported</t>
        </is>
      </c>
      <c r="B6" s="2" t="n">
        <v>1648313179.86</v>
      </c>
    </row>
    <row r="7">
      <c r="A7" t="inlineStr">
        <is>
          <t>Exceptions</t>
        </is>
      </c>
      <c r="B7" t="n">
        <v>18</v>
      </c>
    </row>
    <row r="8">
      <c r="A8" t="inlineStr">
        <is>
          <t xml:space="preserve">  implausible value</t>
        </is>
      </c>
      <c r="B8" t="n">
        <v>2</v>
      </c>
    </row>
    <row r="9">
      <c r="A9" t="inlineStr">
        <is>
          <t xml:space="preserve">  nonpositive premium</t>
        </is>
      </c>
      <c r="B9" t="n">
        <v>9</v>
      </c>
    </row>
    <row r="10">
      <c r="A10" t="inlineStr">
        <is>
          <t xml:space="preserve">  unexplained</t>
        </is>
      </c>
      <c r="B10" t="n">
        <v>7</v>
      </c>
    </row>
    <row r="11">
      <c r="A11" t="inlineStr">
        <is>
          <t>Checks passed: preliminary mlr</t>
        </is>
      </c>
      <c r="B11" t="inlineStr">
        <is>
          <t>1373 of 1378</t>
        </is>
      </c>
    </row>
    <row r="12">
      <c r="A12" t="inlineStr">
        <is>
          <t>Checks passed: adjusted mlr</t>
        </is>
      </c>
      <c r="B12" t="inlineStr">
        <is>
          <t>1379 of 1381</t>
        </is>
      </c>
    </row>
    <row r="13">
      <c r="A13" t="inlineStr">
        <is>
          <t>Checks passed: rebate</t>
        </is>
      </c>
      <c r="B13" t="inlineStr">
        <is>
          <t>1507 of 1518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2" customWidth="1" min="4" max="4"/>
    <col width="2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>
      <c r="A1" s="3" t="inlineStr">
        <is>
          <t>State</t>
        </is>
      </c>
      <c r="B1" s="3" t="inlineStr">
        <is>
          <t>Market</t>
        </is>
      </c>
      <c r="C1" s="3" t="inlineStr">
        <is>
          <t>Insurers</t>
        </is>
      </c>
      <c r="D1" s="3" t="inlineStr">
        <is>
          <t>MLR numerator (3-yr)</t>
        </is>
      </c>
      <c r="E1" s="3" t="inlineStr">
        <is>
          <t>MLR denominator (3-yr)</t>
        </is>
      </c>
      <c r="F1" s="3" t="inlineStr">
        <is>
          <t>Weighted MLR</t>
        </is>
      </c>
      <c r="G1" s="3" t="inlineStr">
        <is>
          <t>Earned premium (yr)</t>
        </is>
      </c>
      <c r="H1" s="3" t="inlineStr">
        <is>
          <t>Rebates</t>
        </is>
      </c>
      <c r="I1" s="3" t="inlineStr">
        <is>
          <t>Insurers owing</t>
        </is>
      </c>
    </row>
    <row r="2">
      <c r="A2" t="inlineStr">
        <is>
          <t>AK</t>
        </is>
      </c>
      <c r="B2" t="inlineStr">
        <is>
          <t>Individual</t>
        </is>
      </c>
      <c r="C2" t="n">
        <v>5</v>
      </c>
      <c r="D2" s="2" t="n">
        <v>570916762.2838057</v>
      </c>
      <c r="E2" s="2" t="n">
        <v>636195212.33</v>
      </c>
      <c r="F2" s="4">
        <f>IFERROR(D2/E2,"")</f>
        <v/>
      </c>
      <c r="G2" s="2" t="n">
        <v>291827032.07</v>
      </c>
      <c r="H2" s="2" t="n">
        <v>0</v>
      </c>
      <c r="I2" t="n">
        <v>0</v>
      </c>
    </row>
    <row r="3">
      <c r="A3" t="inlineStr">
        <is>
          <t>AK</t>
        </is>
      </c>
      <c r="B3" t="inlineStr">
        <is>
          <t>Large group</t>
        </is>
      </c>
      <c r="C3" t="n">
        <v>5</v>
      </c>
      <c r="D3" s="2" t="n">
        <v>2309949644.69701</v>
      </c>
      <c r="E3" s="2" t="n">
        <v>2491176050.71692</v>
      </c>
      <c r="F3" s="4">
        <f>IFERROR(D3/E3,"")</f>
        <v/>
      </c>
      <c r="G3" s="2" t="n">
        <v>953473140.6400001</v>
      </c>
      <c r="H3" s="2" t="n">
        <v>0</v>
      </c>
      <c r="I3" t="n">
        <v>0</v>
      </c>
    </row>
    <row r="4">
      <c r="A4" t="inlineStr">
        <is>
          <t>AK</t>
        </is>
      </c>
      <c r="B4" t="inlineStr">
        <is>
          <t>Small group</t>
        </is>
      </c>
      <c r="C4" t="n">
        <v>4</v>
      </c>
      <c r="D4" s="2" t="n">
        <v>343892835.3684388</v>
      </c>
      <c r="E4" s="2" t="n">
        <v>399932579.76821</v>
      </c>
      <c r="F4" s="4">
        <f>IFERROR(D4/E4,"")</f>
        <v/>
      </c>
      <c r="G4" s="2" t="n">
        <v>140414814.67</v>
      </c>
      <c r="H4" s="2" t="n">
        <v>0</v>
      </c>
      <c r="I4" t="n">
        <v>0</v>
      </c>
    </row>
    <row r="5">
      <c r="A5" t="inlineStr">
        <is>
          <t>AL</t>
        </is>
      </c>
      <c r="B5" t="inlineStr">
        <is>
          <t>Individual</t>
        </is>
      </c>
      <c r="C5" t="n">
        <v>9</v>
      </c>
      <c r="D5" s="2" t="n">
        <v>6068962302.327418</v>
      </c>
      <c r="E5" s="2" t="n">
        <v>7345112556.006982</v>
      </c>
      <c r="F5" s="4">
        <f>IFERROR(D5/E5,"")</f>
        <v/>
      </c>
      <c r="G5" s="2" t="n">
        <v>3700927333.874575</v>
      </c>
      <c r="H5" s="2" t="n">
        <v>181752009.8248082</v>
      </c>
      <c r="I5" t="n">
        <v>3</v>
      </c>
    </row>
    <row r="6">
      <c r="A6" t="inlineStr">
        <is>
          <t>AL</t>
        </is>
      </c>
      <c r="B6" t="inlineStr">
        <is>
          <t>Large group</t>
        </is>
      </c>
      <c r="C6" t="n">
        <v>8</v>
      </c>
      <c r="D6" s="2" t="n">
        <v>9526515269.571871</v>
      </c>
      <c r="E6" s="2" t="n">
        <v>10263095966.91734</v>
      </c>
      <c r="F6" s="4">
        <f>IFERROR(D6/E6,"")</f>
        <v/>
      </c>
      <c r="G6" s="2" t="n">
        <v>3591521898.61</v>
      </c>
      <c r="H6" s="2" t="n">
        <v>0</v>
      </c>
      <c r="I6" t="n">
        <v>0</v>
      </c>
    </row>
    <row r="7">
      <c r="A7" t="inlineStr">
        <is>
          <t>AL</t>
        </is>
      </c>
      <c r="B7" t="inlineStr">
        <is>
          <t>Small group</t>
        </is>
      </c>
      <c r="C7" t="n">
        <v>5</v>
      </c>
      <c r="D7" s="2" t="n">
        <v>3108792213.658179</v>
      </c>
      <c r="E7" s="2" t="n">
        <v>3410198313.26728</v>
      </c>
      <c r="F7" s="4">
        <f>IFERROR(D7/E7,"")</f>
        <v/>
      </c>
      <c r="G7" s="2" t="n">
        <v>1191640328.41</v>
      </c>
      <c r="H7" s="2" t="n">
        <v>198169.585</v>
      </c>
      <c r="I7" t="n">
        <v>1</v>
      </c>
    </row>
    <row r="8">
      <c r="A8" t="inlineStr">
        <is>
          <t>AR</t>
        </is>
      </c>
      <c r="B8" t="inlineStr">
        <is>
          <t>Individual</t>
        </is>
      </c>
      <c r="C8" t="n">
        <v>13</v>
      </c>
      <c r="D8" s="2" t="n">
        <v>5384868114.949372</v>
      </c>
      <c r="E8" s="2" t="n">
        <v>6603567734.507604</v>
      </c>
      <c r="F8" s="4">
        <f>IFERROR(D8/E8,"")</f>
        <v/>
      </c>
      <c r="G8" s="2" t="n">
        <v>2156218487.640232</v>
      </c>
      <c r="H8" s="2" t="n">
        <v>31677384.20991756</v>
      </c>
      <c r="I8" t="n">
        <v>2</v>
      </c>
    </row>
    <row r="9">
      <c r="A9" t="inlineStr">
        <is>
          <t>AR</t>
        </is>
      </c>
      <c r="B9" t="inlineStr">
        <is>
          <t>Large group</t>
        </is>
      </c>
      <c r="C9" t="n">
        <v>11</v>
      </c>
      <c r="D9" s="2" t="n">
        <v>3540425709.577518</v>
      </c>
      <c r="E9" s="2" t="n">
        <v>3904884139.158221</v>
      </c>
      <c r="F9" s="4">
        <f>IFERROR(D9/E9,"")</f>
        <v/>
      </c>
      <c r="G9" s="2" t="n">
        <v>1358326370.42</v>
      </c>
      <c r="H9" s="2" t="n">
        <v>87407.0601</v>
      </c>
      <c r="I9" t="n">
        <v>1</v>
      </c>
    </row>
    <row r="10">
      <c r="A10" t="inlineStr">
        <is>
          <t>AR</t>
        </is>
      </c>
      <c r="B10" t="inlineStr">
        <is>
          <t>Small group</t>
        </is>
      </c>
      <c r="C10" t="n">
        <v>7</v>
      </c>
      <c r="D10" s="2" t="n">
        <v>1127645045.014086</v>
      </c>
      <c r="E10" s="2" t="n">
        <v>1323137452.844927</v>
      </c>
      <c r="F10" s="4">
        <f>IFERROR(D10/E10,"")</f>
        <v/>
      </c>
      <c r="G10" s="2" t="n">
        <v>468856325.73</v>
      </c>
      <c r="H10" s="2" t="n">
        <v>1587433.1899</v>
      </c>
      <c r="I10" t="n">
        <v>1</v>
      </c>
    </row>
    <row r="11">
      <c r="A11" t="inlineStr">
        <is>
          <t>AZ</t>
        </is>
      </c>
      <c r="B11" t="inlineStr">
        <is>
          <t>Individual</t>
        </is>
      </c>
      <c r="C11" t="n">
        <v>15</v>
      </c>
      <c r="D11" s="2" t="n">
        <v>4445975520.993366</v>
      </c>
      <c r="E11" s="2" t="n">
        <v>5170990880.483595</v>
      </c>
      <c r="F11" s="4">
        <f>IFERROR(D11/E11,"")</f>
        <v/>
      </c>
      <c r="G11" s="2" t="n">
        <v>2332600719.799129</v>
      </c>
      <c r="H11" s="2" t="n">
        <v>0</v>
      </c>
      <c r="I11" t="n">
        <v>0</v>
      </c>
    </row>
    <row r="12">
      <c r="A12" t="inlineStr">
        <is>
          <t>AZ</t>
        </is>
      </c>
      <c r="B12" t="inlineStr">
        <is>
          <t>Large group</t>
        </is>
      </c>
      <c r="C12" t="n">
        <v>14</v>
      </c>
      <c r="D12" s="2" t="n">
        <v>6869968447.870225</v>
      </c>
      <c r="E12" s="2" t="n">
        <v>7864423351.308965</v>
      </c>
      <c r="F12" s="4">
        <f>IFERROR(D12/E12,"")</f>
        <v/>
      </c>
      <c r="G12" s="2" t="n">
        <v>2754744042.814551</v>
      </c>
      <c r="H12" s="2" t="n">
        <v>1549263.7485871</v>
      </c>
      <c r="I12" t="n">
        <v>4</v>
      </c>
    </row>
    <row r="13">
      <c r="A13" t="inlineStr">
        <is>
          <t>AZ</t>
        </is>
      </c>
      <c r="B13" t="inlineStr">
        <is>
          <t>Small group</t>
        </is>
      </c>
      <c r="C13" t="n">
        <v>11</v>
      </c>
      <c r="D13" s="2" t="n">
        <v>2024650380.45005</v>
      </c>
      <c r="E13" s="2" t="n">
        <v>2543164420.928824</v>
      </c>
      <c r="F13" s="4">
        <f>IFERROR(D13/E13,"")</f>
        <v/>
      </c>
      <c r="G13" s="2" t="n">
        <v>834598566.4799989</v>
      </c>
      <c r="H13" s="2" t="n">
        <v>8623648.28990251</v>
      </c>
      <c r="I13" t="n">
        <v>2</v>
      </c>
    </row>
    <row r="14">
      <c r="A14" t="inlineStr">
        <is>
          <t>CA</t>
        </is>
      </c>
      <c r="B14" t="inlineStr">
        <is>
          <t>Individual</t>
        </is>
      </c>
      <c r="C14" t="n">
        <v>25</v>
      </c>
      <c r="D14" s="2" t="n">
        <v>45056454724.95312</v>
      </c>
      <c r="E14" s="2" t="n">
        <v>47099785218.15593</v>
      </c>
      <c r="F14" s="4">
        <f>IFERROR(D14/E14,"")</f>
        <v/>
      </c>
      <c r="G14" s="2" t="n">
        <v>17368025300.93345</v>
      </c>
      <c r="H14" s="2" t="n">
        <v>1855366.608390002</v>
      </c>
      <c r="I14" t="n">
        <v>2</v>
      </c>
    </row>
    <row r="15">
      <c r="A15" t="inlineStr">
        <is>
          <t>CA</t>
        </is>
      </c>
      <c r="B15" t="inlineStr">
        <is>
          <t>Large group</t>
        </is>
      </c>
      <c r="C15" t="n">
        <v>37</v>
      </c>
      <c r="D15" s="2" t="n">
        <v>175221440352.238</v>
      </c>
      <c r="E15" s="2" t="n">
        <v>190973717403.1087</v>
      </c>
      <c r="F15" s="4">
        <f>IFERROR(D15/E15,"")</f>
        <v/>
      </c>
      <c r="G15" s="2" t="n">
        <v>69335842138.83376</v>
      </c>
      <c r="H15" s="2" t="n">
        <v>15947647.41714555</v>
      </c>
      <c r="I15" t="n">
        <v>4</v>
      </c>
    </row>
    <row r="16">
      <c r="A16" t="inlineStr">
        <is>
          <t>CA</t>
        </is>
      </c>
      <c r="B16" t="inlineStr">
        <is>
          <t>Small group</t>
        </is>
      </c>
      <c r="C16" t="n">
        <v>23</v>
      </c>
      <c r="D16" s="2" t="n">
        <v>40233473084.51314</v>
      </c>
      <c r="E16" s="2" t="n">
        <v>45165963639.22131</v>
      </c>
      <c r="F16" s="4">
        <f>IFERROR(D16/E16,"")</f>
        <v/>
      </c>
      <c r="G16" s="2" t="n">
        <v>16045671958.88511</v>
      </c>
      <c r="H16" s="2" t="n">
        <v>13364733.033</v>
      </c>
      <c r="I16" t="n">
        <v>2</v>
      </c>
    </row>
    <row r="17">
      <c r="A17" t="inlineStr">
        <is>
          <t>CO</t>
        </is>
      </c>
      <c r="B17" t="inlineStr">
        <is>
          <t>Individual</t>
        </is>
      </c>
      <c r="C17" t="n">
        <v>14</v>
      </c>
      <c r="D17" s="2" t="n">
        <v>3575972784.379</v>
      </c>
      <c r="E17" s="2" t="n">
        <v>4100623836.917861</v>
      </c>
      <c r="F17" s="4">
        <f>IFERROR(D17/E17,"")</f>
        <v/>
      </c>
      <c r="G17" s="2" t="n">
        <v>1887364498.664</v>
      </c>
      <c r="H17" s="2" t="n">
        <v>7392664.822322007</v>
      </c>
      <c r="I17" t="n">
        <v>1</v>
      </c>
    </row>
    <row r="18">
      <c r="A18" t="inlineStr">
        <is>
          <t>CO</t>
        </is>
      </c>
      <c r="B18" t="inlineStr">
        <is>
          <t>Large group</t>
        </is>
      </c>
      <c r="C18" t="n">
        <v>15</v>
      </c>
      <c r="D18" s="2" t="n">
        <v>10321919440.028</v>
      </c>
      <c r="E18" s="2" t="n">
        <v>11315191288.58114</v>
      </c>
      <c r="F18" s="4">
        <f>IFERROR(D18/E18,"")</f>
        <v/>
      </c>
      <c r="G18" s="2" t="n">
        <v>4009913572.4</v>
      </c>
      <c r="H18" s="2" t="n">
        <v>4203573.842059199</v>
      </c>
      <c r="I18" t="n">
        <v>2</v>
      </c>
    </row>
    <row r="19">
      <c r="A19" t="inlineStr">
        <is>
          <t>CO</t>
        </is>
      </c>
      <c r="B19" t="inlineStr">
        <is>
          <t>Small group</t>
        </is>
      </c>
      <c r="C19" t="n">
        <v>9</v>
      </c>
      <c r="D19" s="2" t="n">
        <v>3364937521.663</v>
      </c>
      <c r="E19" s="2" t="n">
        <v>4049207613.68008</v>
      </c>
      <c r="F19" s="4">
        <f>IFERROR(D19/E19,"")</f>
        <v/>
      </c>
      <c r="G19" s="2" t="n">
        <v>1407960967.2</v>
      </c>
      <c r="H19" s="2" t="n">
        <v>0</v>
      </c>
      <c r="I19" t="n">
        <v>0</v>
      </c>
    </row>
    <row r="20">
      <c r="A20" t="inlineStr">
        <is>
          <t>CT</t>
        </is>
      </c>
      <c r="B20" t="inlineStr">
        <is>
          <t>Individual</t>
        </is>
      </c>
      <c r="C20" t="n">
        <v>10</v>
      </c>
      <c r="D20" s="2" t="n">
        <v>2986423835.532243</v>
      </c>
      <c r="E20" s="2" t="n">
        <v>3528943282.349703</v>
      </c>
      <c r="F20" s="4">
        <f>IFERROR(D20/E20,"")</f>
        <v/>
      </c>
      <c r="G20" s="2" t="n">
        <v>1480995570.369689</v>
      </c>
      <c r="H20" s="2" t="n">
        <v>0</v>
      </c>
      <c r="I20" t="n">
        <v>0</v>
      </c>
    </row>
    <row r="21">
      <c r="A21" t="inlineStr">
        <is>
          <t>CT</t>
        </is>
      </c>
      <c r="B21" t="inlineStr">
        <is>
          <t>Large group</t>
        </is>
      </c>
      <c r="C21" t="n">
        <v>13</v>
      </c>
      <c r="D21" s="2" t="n">
        <v>6330248986.656837</v>
      </c>
      <c r="E21" s="2" t="n">
        <v>7004620954.852596</v>
      </c>
      <c r="F21" s="4">
        <f>IFERROR(D21/E21,"")</f>
        <v/>
      </c>
      <c r="G21" s="2" t="n">
        <v>2462727263.289271</v>
      </c>
      <c r="H21" s="2" t="n">
        <v>0</v>
      </c>
      <c r="I21" t="n">
        <v>0</v>
      </c>
    </row>
    <row r="22">
      <c r="A22" t="inlineStr">
        <is>
          <t>CT</t>
        </is>
      </c>
      <c r="B22" t="inlineStr">
        <is>
          <t>Small group</t>
        </is>
      </c>
      <c r="C22" t="n">
        <v>12</v>
      </c>
      <c r="D22" s="2" t="n">
        <v>1872848671.157733</v>
      </c>
      <c r="E22" s="2" t="n">
        <v>2193510167.085924</v>
      </c>
      <c r="F22" s="4">
        <f>IFERROR(D22/E22,"")</f>
        <v/>
      </c>
      <c r="G22" s="2" t="n">
        <v>738618590.8041298</v>
      </c>
      <c r="H22" s="2" t="n">
        <v>1583672.3544</v>
      </c>
      <c r="I22" t="n">
        <v>1</v>
      </c>
    </row>
    <row r="23">
      <c r="A23" t="inlineStr">
        <is>
          <t>DC</t>
        </is>
      </c>
      <c r="B23" t="inlineStr">
        <is>
          <t>Individual</t>
        </is>
      </c>
      <c r="C23" t="n">
        <v>9</v>
      </c>
      <c r="D23" s="2" t="n">
        <v>1991392150.9</v>
      </c>
      <c r="E23" s="2" t="n">
        <v>2258124303.77645</v>
      </c>
      <c r="F23" s="4">
        <f>IFERROR(D23/E23,"")</f>
        <v/>
      </c>
      <c r="G23" s="2" t="n">
        <v>118747872.47</v>
      </c>
      <c r="H23" s="2" t="n">
        <v>0</v>
      </c>
      <c r="I23" t="n">
        <v>0</v>
      </c>
    </row>
    <row r="24">
      <c r="A24" t="inlineStr">
        <is>
          <t>DC</t>
        </is>
      </c>
      <c r="B24" t="inlineStr">
        <is>
          <t>Large group</t>
        </is>
      </c>
      <c r="C24" t="n">
        <v>14</v>
      </c>
      <c r="D24" s="2" t="n">
        <v>11557546676.73522</v>
      </c>
      <c r="E24" s="2" t="n">
        <v>13090889679.19561</v>
      </c>
      <c r="F24" s="4">
        <f>IFERROR(D24/E24,"")</f>
        <v/>
      </c>
      <c r="G24" s="2" t="n">
        <v>4695309529.785015</v>
      </c>
      <c r="H24" s="2" t="n">
        <v>0</v>
      </c>
      <c r="I24" t="n">
        <v>0</v>
      </c>
    </row>
    <row r="25">
      <c r="A25" t="inlineStr">
        <is>
          <t>DC</t>
        </is>
      </c>
      <c r="B25" t="inlineStr">
        <is>
          <t>Small group</t>
        </is>
      </c>
      <c r="C25" t="n">
        <v>9</v>
      </c>
      <c r="D25" s="2" t="n">
        <v>2030015916.84064</v>
      </c>
      <c r="E25" s="2" t="n">
        <v>2301394963.018466</v>
      </c>
      <c r="F25" s="4">
        <f>IFERROR(D25/E25,"")</f>
        <v/>
      </c>
      <c r="G25" s="2" t="n">
        <v>742393172.0349849</v>
      </c>
      <c r="H25" s="2" t="n">
        <v>65628.01420000001</v>
      </c>
      <c r="I25" t="n">
        <v>1</v>
      </c>
    </row>
    <row r="26">
      <c r="A26" t="inlineStr">
        <is>
          <t>DE</t>
        </is>
      </c>
      <c r="B26" t="inlineStr">
        <is>
          <t>Individual</t>
        </is>
      </c>
      <c r="C26" t="n">
        <v>9</v>
      </c>
      <c r="D26" s="2" t="n">
        <v>859461874.6608504</v>
      </c>
      <c r="E26" s="2" t="n">
        <v>956345404.1597084</v>
      </c>
      <c r="F26" s="4">
        <f>IFERROR(D26/E26,"")</f>
        <v/>
      </c>
      <c r="G26" s="2" t="n">
        <v>398841326.6238136</v>
      </c>
      <c r="H26" s="2" t="n">
        <v>0</v>
      </c>
      <c r="I26" t="n">
        <v>0</v>
      </c>
    </row>
    <row r="27">
      <c r="A27" t="inlineStr">
        <is>
          <t>DE</t>
        </is>
      </c>
      <c r="B27" t="inlineStr">
        <is>
          <t>Large group</t>
        </is>
      </c>
      <c r="C27" t="n">
        <v>7</v>
      </c>
      <c r="D27" s="2" t="n">
        <v>1349637837.006914</v>
      </c>
      <c r="E27" s="2" t="n">
        <v>1485893852.18795</v>
      </c>
      <c r="F27" s="4">
        <f>IFERROR(D27/E27,"")</f>
        <v/>
      </c>
      <c r="G27" s="2" t="n">
        <v>545478274.9680427</v>
      </c>
      <c r="H27" s="2" t="n">
        <v>74533.97962331008</v>
      </c>
      <c r="I27" t="n">
        <v>1</v>
      </c>
    </row>
    <row r="28">
      <c r="A28" t="inlineStr">
        <is>
          <t>DE</t>
        </is>
      </c>
      <c r="B28" t="inlineStr">
        <is>
          <t>Small group</t>
        </is>
      </c>
      <c r="C28" t="n">
        <v>5</v>
      </c>
      <c r="D28" s="2" t="n">
        <v>449489500.9067464</v>
      </c>
      <c r="E28" s="2" t="n">
        <v>526183692.0878353</v>
      </c>
      <c r="F28" s="4">
        <f>IFERROR(D28/E28,"")</f>
        <v/>
      </c>
      <c r="G28" s="2" t="n">
        <v>188467523.1917266</v>
      </c>
      <c r="H28" s="2" t="n">
        <v>0</v>
      </c>
      <c r="I28" t="n">
        <v>0</v>
      </c>
    </row>
    <row r="29">
      <c r="A29" t="inlineStr">
        <is>
          <t>FL</t>
        </is>
      </c>
      <c r="B29" t="inlineStr">
        <is>
          <t>Individual</t>
        </is>
      </c>
      <c r="C29" t="n">
        <v>22</v>
      </c>
      <c r="D29" s="2" t="n">
        <v>61786318039.50205</v>
      </c>
      <c r="E29" s="2" t="n">
        <v>71969974449.53154</v>
      </c>
      <c r="F29" s="4">
        <f>IFERROR(D29/E29,"")</f>
        <v/>
      </c>
      <c r="G29" s="2" t="n">
        <v>31595466268.2858</v>
      </c>
      <c r="H29" s="2" t="n">
        <v>52732065.33256724</v>
      </c>
      <c r="I29" t="n">
        <v>3</v>
      </c>
    </row>
    <row r="30">
      <c r="A30" t="inlineStr">
        <is>
          <t>FL</t>
        </is>
      </c>
      <c r="B30" t="inlineStr">
        <is>
          <t>Large group</t>
        </is>
      </c>
      <c r="C30" t="n">
        <v>20</v>
      </c>
      <c r="D30" s="2" t="n">
        <v>37484710927.79247</v>
      </c>
      <c r="E30" s="2" t="n">
        <v>42013040408.30544</v>
      </c>
      <c r="F30" s="4">
        <f>IFERROR(D30/E30,"")</f>
        <v/>
      </c>
      <c r="G30" s="2" t="n">
        <v>14876931208.78</v>
      </c>
      <c r="H30" s="2" t="n">
        <v>21360185.97190165</v>
      </c>
      <c r="I30" t="n">
        <v>3</v>
      </c>
    </row>
    <row r="31">
      <c r="A31" t="inlineStr">
        <is>
          <t>FL</t>
        </is>
      </c>
      <c r="B31" t="inlineStr">
        <is>
          <t>Small group</t>
        </is>
      </c>
      <c r="C31" t="n">
        <v>17</v>
      </c>
      <c r="D31" s="2" t="n">
        <v>7563967916.949265</v>
      </c>
      <c r="E31" s="2" t="n">
        <v>8995459316.756935</v>
      </c>
      <c r="F31" s="4">
        <f>IFERROR(D31/E31,"")</f>
        <v/>
      </c>
      <c r="G31" s="2" t="n">
        <v>3112447624.55</v>
      </c>
      <c r="H31" s="2" t="n">
        <v>17105832.9596776</v>
      </c>
      <c r="I31" t="n">
        <v>3</v>
      </c>
    </row>
    <row r="32">
      <c r="A32" t="inlineStr">
        <is>
          <t>GA</t>
        </is>
      </c>
      <c r="B32" t="inlineStr">
        <is>
          <t>Individual</t>
        </is>
      </c>
      <c r="C32" t="n">
        <v>17</v>
      </c>
      <c r="D32" s="2" t="n">
        <v>15672933690.09966</v>
      </c>
      <c r="E32" s="2" t="n">
        <v>17733148703.42323</v>
      </c>
      <c r="F32" s="4">
        <f>IFERROR(D32/E32,"")</f>
        <v/>
      </c>
      <c r="G32" s="2" t="n">
        <v>8748160674.311728</v>
      </c>
      <c r="H32" s="2" t="n">
        <v>13224462.99979719</v>
      </c>
      <c r="I32" t="n">
        <v>2</v>
      </c>
    </row>
    <row r="33">
      <c r="A33" t="inlineStr">
        <is>
          <t>GA</t>
        </is>
      </c>
      <c r="B33" t="inlineStr">
        <is>
          <t>Large group</t>
        </is>
      </c>
      <c r="C33" t="n">
        <v>19</v>
      </c>
      <c r="D33" s="2" t="n">
        <v>16900229047.26904</v>
      </c>
      <c r="E33" s="2" t="n">
        <v>18357859638.85166</v>
      </c>
      <c r="F33" s="4">
        <f>IFERROR(D33/E33,"")</f>
        <v/>
      </c>
      <c r="G33" s="2" t="n">
        <v>6197956313.475999</v>
      </c>
      <c r="H33" s="2" t="n">
        <v>680884.8834092377</v>
      </c>
      <c r="I33" t="n">
        <v>2</v>
      </c>
    </row>
    <row r="34">
      <c r="A34" t="inlineStr">
        <is>
          <t>GA</t>
        </is>
      </c>
      <c r="B34" t="inlineStr">
        <is>
          <t>Small group</t>
        </is>
      </c>
      <c r="C34" t="n">
        <v>12</v>
      </c>
      <c r="D34" s="2" t="n">
        <v>1729501409.09</v>
      </c>
      <c r="E34" s="2" t="n">
        <v>2066698842.13795</v>
      </c>
      <c r="F34" s="4">
        <f>IFERROR(D34/E34,"")</f>
        <v/>
      </c>
      <c r="G34" s="2" t="n">
        <v>553152432.482</v>
      </c>
      <c r="H34" s="2" t="n">
        <v>10267903.055228</v>
      </c>
      <c r="I34" t="n">
        <v>2</v>
      </c>
    </row>
    <row r="35">
      <c r="A35" t="inlineStr">
        <is>
          <t>HI</t>
        </is>
      </c>
      <c r="B35" t="inlineStr">
        <is>
          <t>Individual</t>
        </is>
      </c>
      <c r="C35" t="n">
        <v>4</v>
      </c>
      <c r="D35" s="2" t="n">
        <v>651065229.4686689</v>
      </c>
      <c r="E35" s="2" t="n">
        <v>713483442.6807334</v>
      </c>
      <c r="F35" s="4">
        <f>IFERROR(D35/E35,"")</f>
        <v/>
      </c>
      <c r="G35" s="2" t="n">
        <v>255084179</v>
      </c>
      <c r="H35" s="2" t="n">
        <v>0</v>
      </c>
      <c r="I35" t="n">
        <v>0</v>
      </c>
    </row>
    <row r="36">
      <c r="A36" t="inlineStr">
        <is>
          <t>HI</t>
        </is>
      </c>
      <c r="B36" t="inlineStr">
        <is>
          <t>Large group</t>
        </is>
      </c>
      <c r="C36" t="n">
        <v>6</v>
      </c>
      <c r="D36" s="2" t="n">
        <v>8868120943.131186</v>
      </c>
      <c r="E36" s="2" t="n">
        <v>9898503373.284035</v>
      </c>
      <c r="F36" s="4">
        <f>IFERROR(D36/E36,"")</f>
        <v/>
      </c>
      <c r="G36" s="2" t="n">
        <v>3559011317.44</v>
      </c>
      <c r="H36" s="2" t="n">
        <v>3738901.1358</v>
      </c>
      <c r="I36" t="n">
        <v>1</v>
      </c>
    </row>
    <row r="37">
      <c r="A37" t="inlineStr">
        <is>
          <t>HI</t>
        </is>
      </c>
      <c r="B37" t="inlineStr">
        <is>
          <t>Small group</t>
        </is>
      </c>
      <c r="C37" t="n">
        <v>5</v>
      </c>
      <c r="D37" s="2" t="n">
        <v>1770262192.540009</v>
      </c>
      <c r="E37" s="2" t="n">
        <v>1974817645.949454</v>
      </c>
      <c r="F37" s="4">
        <f>IFERROR(D37/E37,"")</f>
        <v/>
      </c>
      <c r="G37" s="2" t="n">
        <v>680994545.63</v>
      </c>
      <c r="H37" s="2" t="n">
        <v>0</v>
      </c>
      <c r="I37" t="n">
        <v>0</v>
      </c>
    </row>
    <row r="38">
      <c r="A38" t="inlineStr">
        <is>
          <t>IA</t>
        </is>
      </c>
      <c r="B38" t="inlineStr">
        <is>
          <t>Individual</t>
        </is>
      </c>
      <c r="C38" t="n">
        <v>8</v>
      </c>
      <c r="D38" s="2" t="n">
        <v>1988156415.116482</v>
      </c>
      <c r="E38" s="2" t="n">
        <v>2321901806.346994</v>
      </c>
      <c r="F38" s="4">
        <f>IFERROR(D38/E38,"")</f>
        <v/>
      </c>
      <c r="G38" s="2" t="n">
        <v>858492906.21</v>
      </c>
      <c r="H38" s="2" t="n">
        <v>1912499.316000002</v>
      </c>
      <c r="I38" t="n">
        <v>1</v>
      </c>
    </row>
    <row r="39">
      <c r="A39" t="inlineStr">
        <is>
          <t>IA</t>
        </is>
      </c>
      <c r="B39" t="inlineStr">
        <is>
          <t>Large group</t>
        </is>
      </c>
      <c r="C39" t="n">
        <v>15</v>
      </c>
      <c r="D39" s="2" t="n">
        <v>4766619229.795347</v>
      </c>
      <c r="E39" s="2" t="n">
        <v>5360906277.998469</v>
      </c>
      <c r="F39" s="4">
        <f>IFERROR(D39/E39,"")</f>
        <v/>
      </c>
      <c r="G39" s="2" t="n">
        <v>1878874183.908855</v>
      </c>
      <c r="H39" s="2" t="n">
        <v>2158786.4076</v>
      </c>
      <c r="I39" t="n">
        <v>1</v>
      </c>
    </row>
    <row r="40">
      <c r="A40" t="inlineStr">
        <is>
          <t>IA</t>
        </is>
      </c>
      <c r="B40" t="inlineStr">
        <is>
          <t>Small group</t>
        </is>
      </c>
      <c r="C40" t="n">
        <v>13</v>
      </c>
      <c r="D40" s="2" t="n">
        <v>1892759746.757899</v>
      </c>
      <c r="E40" s="2" t="n">
        <v>2256161765.130698</v>
      </c>
      <c r="F40" s="4">
        <f>IFERROR(D40/E40,"")</f>
        <v/>
      </c>
      <c r="G40" s="2" t="n">
        <v>772473663.7911448</v>
      </c>
      <c r="H40" s="2" t="n">
        <v>3184632.8538</v>
      </c>
      <c r="I40" t="n">
        <v>2</v>
      </c>
    </row>
    <row r="41">
      <c r="A41" t="inlineStr">
        <is>
          <t>ID</t>
        </is>
      </c>
      <c r="B41" t="inlineStr">
        <is>
          <t>Individual</t>
        </is>
      </c>
      <c r="C41" t="n">
        <v>11</v>
      </c>
      <c r="D41" s="2" t="n">
        <v>1341549013.372334</v>
      </c>
      <c r="E41" s="2" t="n">
        <v>1597139902.06272</v>
      </c>
      <c r="F41" s="4">
        <f>IFERROR(D41/E41,"")</f>
        <v/>
      </c>
      <c r="G41" s="2" t="n">
        <v>626421043.5121562</v>
      </c>
      <c r="H41" s="2" t="n">
        <v>1585409.756646742</v>
      </c>
      <c r="I41" t="n">
        <v>2</v>
      </c>
    </row>
    <row r="42">
      <c r="A42" t="inlineStr">
        <is>
          <t>ID</t>
        </is>
      </c>
      <c r="B42" t="inlineStr">
        <is>
          <t>Large group</t>
        </is>
      </c>
      <c r="C42" t="n">
        <v>11</v>
      </c>
      <c r="D42" s="2" t="n">
        <v>3456859370.402258</v>
      </c>
      <c r="E42" s="2" t="n">
        <v>3813687395.448903</v>
      </c>
      <c r="F42" s="4">
        <f>IFERROR(D42/E42,"")</f>
        <v/>
      </c>
      <c r="G42" s="2" t="n">
        <v>1428078866.783458</v>
      </c>
      <c r="H42" s="2" t="n">
        <v>40006.39976999998</v>
      </c>
      <c r="I42" t="n">
        <v>1</v>
      </c>
    </row>
    <row r="43">
      <c r="A43" t="inlineStr">
        <is>
          <t>ID</t>
        </is>
      </c>
      <c r="B43" t="inlineStr">
        <is>
          <t>Small group</t>
        </is>
      </c>
      <c r="C43" t="n">
        <v>10</v>
      </c>
      <c r="D43" s="2" t="n">
        <v>1345002646.744282</v>
      </c>
      <c r="E43" s="2" t="n">
        <v>1541416161.446935</v>
      </c>
      <c r="F43" s="4">
        <f>IFERROR(D43/E43,"")</f>
        <v/>
      </c>
      <c r="G43" s="2" t="n">
        <v>544207954.2155809</v>
      </c>
      <c r="H43" s="2" t="n">
        <v>0</v>
      </c>
      <c r="I43" t="n">
        <v>0</v>
      </c>
    </row>
    <row r="44">
      <c r="A44" t="inlineStr">
        <is>
          <t>IL</t>
        </is>
      </c>
      <c r="B44" t="inlineStr">
        <is>
          <t>Individual</t>
        </is>
      </c>
      <c r="C44" t="n">
        <v>18</v>
      </c>
      <c r="D44" s="2" t="n">
        <v>8156638398.45764</v>
      </c>
      <c r="E44" s="2" t="n">
        <v>9152156740.953796</v>
      </c>
      <c r="F44" s="4">
        <f>IFERROR(D44/E44,"")</f>
        <v/>
      </c>
      <c r="G44" s="2" t="n">
        <v>3600304436.9447</v>
      </c>
      <c r="H44" s="2" t="n">
        <v>0</v>
      </c>
      <c r="I44" t="n">
        <v>0</v>
      </c>
    </row>
    <row r="45">
      <c r="A45" t="inlineStr">
        <is>
          <t>IL</t>
        </is>
      </c>
      <c r="B45" t="inlineStr">
        <is>
          <t>Large group</t>
        </is>
      </c>
      <c r="C45" t="n">
        <v>24</v>
      </c>
      <c r="D45" s="2" t="n">
        <v>31782970622.24223</v>
      </c>
      <c r="E45" s="2" t="n">
        <v>33849092824.77247</v>
      </c>
      <c r="F45" s="4">
        <f>IFERROR(D45/E45,"")</f>
        <v/>
      </c>
      <c r="G45" s="2" t="n">
        <v>12073619976.82612</v>
      </c>
      <c r="H45" s="2" t="n">
        <v>4562096.636069898</v>
      </c>
      <c r="I45" t="n">
        <v>5</v>
      </c>
    </row>
    <row r="46">
      <c r="A46" t="inlineStr">
        <is>
          <t>IL</t>
        </is>
      </c>
      <c r="B46" t="inlineStr">
        <is>
          <t>Small group</t>
        </is>
      </c>
      <c r="C46" t="n">
        <v>16</v>
      </c>
      <c r="D46" s="2" t="n">
        <v>9291891084.118889</v>
      </c>
      <c r="E46" s="2" t="n">
        <v>10654995130.44022</v>
      </c>
      <c r="F46" s="4">
        <f>IFERROR(D46/E46,"")</f>
        <v/>
      </c>
      <c r="G46" s="2" t="n">
        <v>3673701671.894226</v>
      </c>
      <c r="H46" s="2" t="n">
        <v>154393.63</v>
      </c>
      <c r="I46" t="n">
        <v>1</v>
      </c>
    </row>
    <row r="47">
      <c r="A47" t="inlineStr">
        <is>
          <t>IN</t>
        </is>
      </c>
      <c r="B47" t="inlineStr">
        <is>
          <t>Individual</t>
        </is>
      </c>
      <c r="C47" t="n">
        <v>11</v>
      </c>
      <c r="D47" s="2" t="n">
        <v>3227304908.602067</v>
      </c>
      <c r="E47" s="2" t="n">
        <v>4098338249.729425</v>
      </c>
      <c r="F47" s="4">
        <f>IFERROR(D47/E47,"")</f>
        <v/>
      </c>
      <c r="G47" s="2" t="n">
        <v>1908861408.297417</v>
      </c>
      <c r="H47" s="2" t="n">
        <v>40112979.98845168</v>
      </c>
      <c r="I47" t="n">
        <v>1</v>
      </c>
    </row>
    <row r="48">
      <c r="A48" t="inlineStr">
        <is>
          <t>IN</t>
        </is>
      </c>
      <c r="B48" t="inlineStr">
        <is>
          <t>Large group</t>
        </is>
      </c>
      <c r="C48" t="n">
        <v>19</v>
      </c>
      <c r="D48" s="2" t="n">
        <v>5958023186.708648</v>
      </c>
      <c r="E48" s="2" t="n">
        <v>6793634837.056075</v>
      </c>
      <c r="F48" s="4">
        <f>IFERROR(D48/E48,"")</f>
        <v/>
      </c>
      <c r="G48" s="2" t="n">
        <v>2409284476.998575</v>
      </c>
      <c r="H48" s="2" t="n">
        <v>353883.48747</v>
      </c>
      <c r="I48" t="n">
        <v>2</v>
      </c>
    </row>
    <row r="49">
      <c r="A49" t="inlineStr">
        <is>
          <t>IN</t>
        </is>
      </c>
      <c r="B49" t="inlineStr">
        <is>
          <t>Small group</t>
        </is>
      </c>
      <c r="C49" t="n">
        <v>14</v>
      </c>
      <c r="D49" s="2" t="n">
        <v>1765464632.039233</v>
      </c>
      <c r="E49" s="2" t="n">
        <v>2263982483.585698</v>
      </c>
      <c r="F49" s="4">
        <f>IFERROR(D49/E49,"")</f>
        <v/>
      </c>
      <c r="G49" s="2" t="n">
        <v>733943716.1775788</v>
      </c>
      <c r="H49" s="2" t="n">
        <v>25680377.97247202</v>
      </c>
      <c r="I49" t="n">
        <v>2</v>
      </c>
    </row>
    <row r="50">
      <c r="A50" t="inlineStr">
        <is>
          <t>KS</t>
        </is>
      </c>
      <c r="B50" t="inlineStr">
        <is>
          <t>Individual</t>
        </is>
      </c>
      <c r="C50" t="n">
        <v>13</v>
      </c>
      <c r="D50" s="2" t="n">
        <v>2793452992.435316</v>
      </c>
      <c r="E50" s="2" t="n">
        <v>3170451938.121105</v>
      </c>
      <c r="F50" s="4">
        <f>IFERROR(D50/E50,"")</f>
        <v/>
      </c>
      <c r="G50" s="2" t="n">
        <v>1358884870.81473</v>
      </c>
      <c r="H50" s="2" t="n">
        <v>5340578.701064675</v>
      </c>
      <c r="I50" t="n">
        <v>1</v>
      </c>
    </row>
    <row r="51">
      <c r="A51" t="inlineStr">
        <is>
          <t>KS</t>
        </is>
      </c>
      <c r="B51" t="inlineStr">
        <is>
          <t>Large group</t>
        </is>
      </c>
      <c r="C51" t="n">
        <v>12</v>
      </c>
      <c r="D51" s="2" t="n">
        <v>5589728395.998945</v>
      </c>
      <c r="E51" s="2" t="n">
        <v>6397917420.453668</v>
      </c>
      <c r="F51" s="4">
        <f>IFERROR(D51/E51,"")</f>
        <v/>
      </c>
      <c r="G51" s="2" t="n">
        <v>2156674326.595901</v>
      </c>
      <c r="H51" s="2" t="n">
        <v>584943.8107840399</v>
      </c>
      <c r="I51" t="n">
        <v>1</v>
      </c>
    </row>
    <row r="52">
      <c r="A52" t="inlineStr">
        <is>
          <t>KS</t>
        </is>
      </c>
      <c r="B52" t="inlineStr">
        <is>
          <t>Small group</t>
        </is>
      </c>
      <c r="C52" t="n">
        <v>8</v>
      </c>
      <c r="D52" s="2" t="n">
        <v>1601300647.248205</v>
      </c>
      <c r="E52" s="2" t="n">
        <v>1723899253.804732</v>
      </c>
      <c r="F52" s="4">
        <f>IFERROR(D52/E52,"")</f>
        <v/>
      </c>
      <c r="G52" s="2" t="n">
        <v>550349199.27</v>
      </c>
      <c r="H52" s="2" t="n">
        <v>5639721.3404</v>
      </c>
      <c r="I52" t="n">
        <v>2</v>
      </c>
    </row>
    <row r="53">
      <c r="A53" t="inlineStr">
        <is>
          <t>KY</t>
        </is>
      </c>
      <c r="B53" t="inlineStr">
        <is>
          <t>Individual</t>
        </is>
      </c>
      <c r="C53" t="n">
        <v>16</v>
      </c>
      <c r="D53" s="2" t="n">
        <v>1461709714.589189</v>
      </c>
      <c r="E53" s="2" t="n">
        <v>1684459475.358396</v>
      </c>
      <c r="F53" s="4">
        <f>IFERROR(D53/E53,"")</f>
        <v/>
      </c>
      <c r="G53" s="2" t="n">
        <v>660304374.5360852</v>
      </c>
      <c r="H53" s="2" t="n">
        <v>0</v>
      </c>
      <c r="I53" t="n">
        <v>0</v>
      </c>
    </row>
    <row r="54">
      <c r="A54" t="inlineStr">
        <is>
          <t>KY</t>
        </is>
      </c>
      <c r="B54" t="inlineStr">
        <is>
          <t>Large group</t>
        </is>
      </c>
      <c r="C54" t="n">
        <v>12</v>
      </c>
      <c r="D54" s="2" t="n">
        <v>5216323503.373919</v>
      </c>
      <c r="E54" s="2" t="n">
        <v>6008789155.637444</v>
      </c>
      <c r="F54" s="4">
        <f>IFERROR(D54/E54,"")</f>
        <v/>
      </c>
      <c r="G54" s="2" t="n">
        <v>2037660882.495935</v>
      </c>
      <c r="H54" s="2" t="n">
        <v>0</v>
      </c>
      <c r="I54" t="n">
        <v>0</v>
      </c>
    </row>
    <row r="55">
      <c r="A55" t="inlineStr">
        <is>
          <t>KY</t>
        </is>
      </c>
      <c r="B55" t="inlineStr">
        <is>
          <t>Small group</t>
        </is>
      </c>
      <c r="C55" t="n">
        <v>8</v>
      </c>
      <c r="D55" s="2" t="n">
        <v>646825939.851</v>
      </c>
      <c r="E55" s="2" t="n">
        <v>810068110.5337901</v>
      </c>
      <c r="F55" s="4">
        <f>IFERROR(D55/E55,"")</f>
        <v/>
      </c>
      <c r="G55" s="2" t="n">
        <v>252223806.196</v>
      </c>
      <c r="H55" s="2" t="n">
        <v>1684979.568768002</v>
      </c>
      <c r="I55" t="n">
        <v>1</v>
      </c>
    </row>
    <row r="56">
      <c r="A56" t="inlineStr">
        <is>
          <t>LA</t>
        </is>
      </c>
      <c r="B56" t="inlineStr">
        <is>
          <t>Individual</t>
        </is>
      </c>
      <c r="C56" t="n">
        <v>14</v>
      </c>
      <c r="D56" s="2" t="n">
        <v>3109647681.756222</v>
      </c>
      <c r="E56" s="2" t="n">
        <v>4210350880.110497</v>
      </c>
      <c r="F56" s="4">
        <f>IFERROR(D56/E56,"")</f>
        <v/>
      </c>
      <c r="G56" s="2" t="n">
        <v>2087265044.984443</v>
      </c>
      <c r="H56" s="2" t="n">
        <v>129257144.3338639</v>
      </c>
      <c r="I56" t="n">
        <v>5</v>
      </c>
    </row>
    <row r="57">
      <c r="A57" t="inlineStr">
        <is>
          <t>LA</t>
        </is>
      </c>
      <c r="B57" t="inlineStr">
        <is>
          <t>Large group</t>
        </is>
      </c>
      <c r="C57" t="n">
        <v>11</v>
      </c>
      <c r="D57" s="2" t="n">
        <v>6261617909.18609</v>
      </c>
      <c r="E57" s="2" t="n">
        <v>7124488620.013453</v>
      </c>
      <c r="F57" s="4">
        <f>IFERROR(D57/E57,"")</f>
        <v/>
      </c>
      <c r="G57" s="2" t="n">
        <v>2375035059.44</v>
      </c>
      <c r="H57" s="2" t="n">
        <v>471269.9939091205</v>
      </c>
      <c r="I57" t="n">
        <v>2</v>
      </c>
    </row>
    <row r="58">
      <c r="A58" t="inlineStr">
        <is>
          <t>LA</t>
        </is>
      </c>
      <c r="B58" t="inlineStr">
        <is>
          <t>Small group</t>
        </is>
      </c>
      <c r="C58" t="n">
        <v>9</v>
      </c>
      <c r="D58" s="2" t="n">
        <v>2784332133.048991</v>
      </c>
      <c r="E58" s="2" t="n">
        <v>3317683275.63019</v>
      </c>
      <c r="F58" s="4">
        <f>IFERROR(D58/E58,"")</f>
        <v/>
      </c>
      <c r="G58" s="2" t="n">
        <v>1128598252.85</v>
      </c>
      <c r="H58" s="2" t="n">
        <v>419404.9332</v>
      </c>
      <c r="I58" t="n">
        <v>1</v>
      </c>
    </row>
    <row r="59">
      <c r="A59" t="inlineStr">
        <is>
          <t>MA</t>
        </is>
      </c>
      <c r="B59" t="inlineStr">
        <is>
          <t>Individual</t>
        </is>
      </c>
      <c r="C59" t="n">
        <v>15</v>
      </c>
      <c r="D59" s="2" t="n">
        <v>11327818935.63814</v>
      </c>
      <c r="E59" s="2" t="n">
        <v>14001401501.91038</v>
      </c>
      <c r="F59" s="4">
        <f>IFERROR(D59/E59,"")</f>
        <v/>
      </c>
      <c r="G59" s="2" t="n">
        <v>2297965312.990133</v>
      </c>
      <c r="H59" s="2" t="n">
        <v>21216386.13160152</v>
      </c>
      <c r="I59" t="n">
        <v>6</v>
      </c>
    </row>
    <row r="60">
      <c r="A60" t="inlineStr">
        <is>
          <t>MA</t>
        </is>
      </c>
      <c r="B60" t="inlineStr">
        <is>
          <t>Large group</t>
        </is>
      </c>
      <c r="C60" t="n">
        <v>15</v>
      </c>
      <c r="D60" s="2" t="n">
        <v>22528398305.18971</v>
      </c>
      <c r="E60" s="2" t="n">
        <v>24927269376.79</v>
      </c>
      <c r="F60" s="4">
        <f>IFERROR(D60/E60,"")</f>
        <v/>
      </c>
      <c r="G60" s="2" t="n">
        <v>8573635682.007613</v>
      </c>
      <c r="H60" s="2" t="n">
        <v>0</v>
      </c>
      <c r="I60" t="n">
        <v>0</v>
      </c>
    </row>
    <row r="61">
      <c r="A61" t="inlineStr">
        <is>
          <t>MA</t>
        </is>
      </c>
      <c r="B61" t="inlineStr">
        <is>
          <t>Small group</t>
        </is>
      </c>
      <c r="C61" t="n">
        <v>13</v>
      </c>
      <c r="D61" s="2" t="n">
        <v>11329879444.80231</v>
      </c>
      <c r="E61" s="2" t="n">
        <v>14003798585.01037</v>
      </c>
      <c r="F61" s="4">
        <f>IFERROR(D61/E61,"")</f>
        <v/>
      </c>
      <c r="G61" s="2" t="n">
        <v>2814378437.302237</v>
      </c>
      <c r="H61" s="2" t="n">
        <v>54400148.33046949</v>
      </c>
      <c r="I61" t="n">
        <v>5</v>
      </c>
    </row>
    <row r="62">
      <c r="A62" t="inlineStr">
        <is>
          <t>MD</t>
        </is>
      </c>
      <c r="B62" t="inlineStr">
        <is>
          <t>Individual</t>
        </is>
      </c>
      <c r="C62" t="n">
        <v>15</v>
      </c>
      <c r="D62" s="2" t="n">
        <v>3390383002.228037</v>
      </c>
      <c r="E62" s="2" t="n">
        <v>4016724017.494395</v>
      </c>
      <c r="F62" s="4">
        <f>IFERROR(D62/E62,"")</f>
        <v/>
      </c>
      <c r="G62" s="2" t="n">
        <v>1547181646.90998</v>
      </c>
      <c r="H62" s="2" t="n">
        <v>7717495.772290001</v>
      </c>
      <c r="I62" t="n">
        <v>3</v>
      </c>
    </row>
    <row r="63">
      <c r="A63" t="inlineStr">
        <is>
          <t>MD</t>
        </is>
      </c>
      <c r="B63" t="inlineStr">
        <is>
          <t>Large group</t>
        </is>
      </c>
      <c r="C63" t="n">
        <v>13</v>
      </c>
      <c r="D63" s="2" t="n">
        <v>19213105796.11</v>
      </c>
      <c r="E63" s="2" t="n">
        <v>21359028036.32509</v>
      </c>
      <c r="F63" s="4">
        <f>IFERROR(D63/E63,"")</f>
        <v/>
      </c>
      <c r="G63" s="2" t="n">
        <v>7573541083.24</v>
      </c>
      <c r="H63" s="2" t="n">
        <v>6387592.660338049</v>
      </c>
      <c r="I63" t="n">
        <v>4</v>
      </c>
    </row>
    <row r="64">
      <c r="A64" t="inlineStr">
        <is>
          <t>MD</t>
        </is>
      </c>
      <c r="B64" t="inlineStr">
        <is>
          <t>Small group</t>
        </is>
      </c>
      <c r="C64" t="n">
        <v>10</v>
      </c>
      <c r="D64" s="2" t="n">
        <v>3652791661.29</v>
      </c>
      <c r="E64" s="2" t="n">
        <v>4564844240.06632</v>
      </c>
      <c r="F64" s="4">
        <f>IFERROR(D64/E64,"")</f>
        <v/>
      </c>
      <c r="G64" s="2" t="n">
        <v>1615078819.2</v>
      </c>
      <c r="H64" s="2" t="n">
        <v>19020073.46512002</v>
      </c>
      <c r="I64" t="n">
        <v>2</v>
      </c>
    </row>
    <row r="65">
      <c r="A65" t="inlineStr">
        <is>
          <t>ME</t>
        </is>
      </c>
      <c r="B65" t="inlineStr">
        <is>
          <t>Individual</t>
        </is>
      </c>
      <c r="C65" t="n">
        <v>10</v>
      </c>
      <c r="D65" s="2" t="n">
        <v>2055984074.248257</v>
      </c>
      <c r="E65" s="2" t="n">
        <v>2365107906.567032</v>
      </c>
      <c r="F65" s="4">
        <f>IFERROR(D65/E65,"")</f>
        <v/>
      </c>
      <c r="G65" s="2" t="n">
        <v>554763922.7487832</v>
      </c>
      <c r="H65" s="2" t="n">
        <v>0</v>
      </c>
      <c r="I65" t="n">
        <v>0</v>
      </c>
    </row>
    <row r="66">
      <c r="A66" t="inlineStr">
        <is>
          <t>ME</t>
        </is>
      </c>
      <c r="B66" t="inlineStr">
        <is>
          <t>Large group</t>
        </is>
      </c>
      <c r="C66" t="n">
        <v>10</v>
      </c>
      <c r="D66" s="2" t="n">
        <v>3656837655.17207</v>
      </c>
      <c r="E66" s="2" t="n">
        <v>3991247067.583234</v>
      </c>
      <c r="F66" s="4">
        <f>IFERROR(D66/E66,"")</f>
        <v/>
      </c>
      <c r="G66" s="2" t="n">
        <v>1419996166.909119</v>
      </c>
      <c r="H66" s="2" t="n">
        <v>174838.2733156798</v>
      </c>
      <c r="I66" t="n">
        <v>1</v>
      </c>
    </row>
    <row r="67">
      <c r="A67" t="inlineStr">
        <is>
          <t>ME</t>
        </is>
      </c>
      <c r="B67" t="inlineStr">
        <is>
          <t>Small group</t>
        </is>
      </c>
      <c r="C67" t="n">
        <v>9</v>
      </c>
      <c r="D67" s="2" t="n">
        <v>2060910813.995844</v>
      </c>
      <c r="E67" s="2" t="n">
        <v>2370720800.393952</v>
      </c>
      <c r="F67" s="4">
        <f>IFERROR(D67/E67,"")</f>
        <v/>
      </c>
      <c r="G67" s="2" t="n">
        <v>322988752.7720975</v>
      </c>
      <c r="H67" s="2" t="n">
        <v>0</v>
      </c>
      <c r="I67" t="n">
        <v>0</v>
      </c>
    </row>
    <row r="68">
      <c r="A68" t="inlineStr">
        <is>
          <t>MI</t>
        </is>
      </c>
      <c r="B68" t="inlineStr">
        <is>
          <t>Individual</t>
        </is>
      </c>
      <c r="C68" t="n">
        <v>16</v>
      </c>
      <c r="D68" s="2" t="n">
        <v>6156035864.8952</v>
      </c>
      <c r="E68" s="2" t="n">
        <v>7167192995.834115</v>
      </c>
      <c r="F68" s="4">
        <f>IFERROR(D68/E68,"")</f>
        <v/>
      </c>
      <c r="G68" s="2" t="n">
        <v>2998644624.945225</v>
      </c>
      <c r="H68" s="2" t="n">
        <v>12756064.7430986</v>
      </c>
      <c r="I68" t="n">
        <v>3</v>
      </c>
    </row>
    <row r="69">
      <c r="A69" t="inlineStr">
        <is>
          <t>MI</t>
        </is>
      </c>
      <c r="B69" t="inlineStr">
        <is>
          <t>Large group</t>
        </is>
      </c>
      <c r="C69" t="n">
        <v>21</v>
      </c>
      <c r="D69" s="2" t="n">
        <v>23377344807.973</v>
      </c>
      <c r="E69" s="2" t="n">
        <v>26078622892.33265</v>
      </c>
      <c r="F69" s="4">
        <f>IFERROR(D69/E69,"")</f>
        <v/>
      </c>
      <c r="G69" s="2" t="n">
        <v>9278139273.379633</v>
      </c>
      <c r="H69" s="2" t="n">
        <v>816197.1072300007</v>
      </c>
      <c r="I69" t="n">
        <v>2</v>
      </c>
    </row>
    <row r="70">
      <c r="A70" t="inlineStr">
        <is>
          <t>MI</t>
        </is>
      </c>
      <c r="B70" t="inlineStr">
        <is>
          <t>Small group</t>
        </is>
      </c>
      <c r="C70" t="n">
        <v>16</v>
      </c>
      <c r="D70" s="2" t="n">
        <v>6547253455.653806</v>
      </c>
      <c r="E70" s="2" t="n">
        <v>7618714006.062049</v>
      </c>
      <c r="F70" s="4">
        <f>IFERROR(D70/E70,"")</f>
        <v/>
      </c>
      <c r="G70" s="2" t="n">
        <v>2657560341.919752</v>
      </c>
      <c r="H70" s="2" t="n">
        <v>0</v>
      </c>
      <c r="I70" t="n">
        <v>0</v>
      </c>
    </row>
    <row r="71">
      <c r="A71" t="inlineStr">
        <is>
          <t>MN</t>
        </is>
      </c>
      <c r="B71" t="inlineStr">
        <is>
          <t>Individual</t>
        </is>
      </c>
      <c r="C71" t="n">
        <v>16</v>
      </c>
      <c r="D71" s="2" t="n">
        <v>1839621223.727556</v>
      </c>
      <c r="E71" s="2" t="n">
        <v>2036838872.598315</v>
      </c>
      <c r="F71" s="4">
        <f>IFERROR(D71/E71,"")</f>
        <v/>
      </c>
      <c r="G71" s="2" t="n">
        <v>806466007.6075519</v>
      </c>
      <c r="H71" s="2" t="n">
        <v>0</v>
      </c>
      <c r="I71" t="n">
        <v>0</v>
      </c>
    </row>
    <row r="72">
      <c r="A72" t="inlineStr">
        <is>
          <t>MN</t>
        </is>
      </c>
      <c r="B72" t="inlineStr">
        <is>
          <t>Large group</t>
        </is>
      </c>
      <c r="C72" t="n">
        <v>14</v>
      </c>
      <c r="D72" s="2" t="n">
        <v>10183787162.79766</v>
      </c>
      <c r="E72" s="2" t="n">
        <v>11042081989.66446</v>
      </c>
      <c r="F72" s="4">
        <f>IFERROR(D72/E72,"")</f>
        <v/>
      </c>
      <c r="G72" s="2" t="n">
        <v>4061395517.791599</v>
      </c>
      <c r="H72" s="2" t="n">
        <v>0</v>
      </c>
      <c r="I72" t="n">
        <v>0</v>
      </c>
    </row>
    <row r="73">
      <c r="A73" t="inlineStr">
        <is>
          <t>MN</t>
        </is>
      </c>
      <c r="B73" t="inlineStr">
        <is>
          <t>Small group</t>
        </is>
      </c>
      <c r="C73" t="n">
        <v>10</v>
      </c>
      <c r="D73" s="2" t="n">
        <v>2501315315.303516</v>
      </c>
      <c r="E73" s="2" t="n">
        <v>2717644428.699444</v>
      </c>
      <c r="F73" s="4">
        <f>IFERROR(D73/E73,"")</f>
        <v/>
      </c>
      <c r="G73" s="2" t="n">
        <v>968984388.4884</v>
      </c>
      <c r="H73" s="2" t="n">
        <v>0</v>
      </c>
      <c r="I73" t="n">
        <v>0</v>
      </c>
    </row>
    <row r="74">
      <c r="A74" t="inlineStr">
        <is>
          <t>MO</t>
        </is>
      </c>
      <c r="B74" t="inlineStr">
        <is>
          <t>Individual</t>
        </is>
      </c>
      <c r="C74" t="n">
        <v>18</v>
      </c>
      <c r="D74" s="2" t="n">
        <v>5005912314.325023</v>
      </c>
      <c r="E74" s="2" t="n">
        <v>6478978381.518884</v>
      </c>
      <c r="F74" s="4">
        <f>IFERROR(D74/E74,"")</f>
        <v/>
      </c>
      <c r="G74" s="2" t="n">
        <v>2876012141.699296</v>
      </c>
      <c r="H74" s="2" t="n">
        <v>117349231.5161412</v>
      </c>
      <c r="I74" t="n">
        <v>3</v>
      </c>
    </row>
    <row r="75">
      <c r="A75" t="inlineStr">
        <is>
          <t>MO</t>
        </is>
      </c>
      <c r="B75" t="inlineStr">
        <is>
          <t>Large group</t>
        </is>
      </c>
      <c r="C75" t="n">
        <v>14</v>
      </c>
      <c r="D75" s="2" t="n">
        <v>9317918107.575977</v>
      </c>
      <c r="E75" s="2" t="n">
        <v>10701276585.28657</v>
      </c>
      <c r="F75" s="4">
        <f>IFERROR(D75/E75,"")</f>
        <v/>
      </c>
      <c r="G75" s="2" t="n">
        <v>3704283291.170436</v>
      </c>
      <c r="H75" s="2" t="n">
        <v>5643746.5902</v>
      </c>
      <c r="I75" t="n">
        <v>3</v>
      </c>
    </row>
    <row r="76">
      <c r="A76" t="inlineStr">
        <is>
          <t>MO</t>
        </is>
      </c>
      <c r="B76" t="inlineStr">
        <is>
          <t>Small group</t>
        </is>
      </c>
      <c r="C76" t="n">
        <v>11</v>
      </c>
      <c r="D76" s="2" t="n">
        <v>1587372592.23234</v>
      </c>
      <c r="E76" s="2" t="n">
        <v>2117957835.515471</v>
      </c>
      <c r="F76" s="4">
        <f>IFERROR(D76/E76,"")</f>
        <v/>
      </c>
      <c r="G76" s="2" t="n">
        <v>667634372.1199999</v>
      </c>
      <c r="H76" s="2" t="n">
        <v>33363492.2837813</v>
      </c>
      <c r="I76" t="n">
        <v>5</v>
      </c>
    </row>
    <row r="77">
      <c r="A77" t="inlineStr">
        <is>
          <t>MS</t>
        </is>
      </c>
      <c r="B77" t="inlineStr">
        <is>
          <t>Individual</t>
        </is>
      </c>
      <c r="C77" t="n">
        <v>14</v>
      </c>
      <c r="D77" s="2" t="n">
        <v>3699963751.416733</v>
      </c>
      <c r="E77" s="2" t="n">
        <v>4495252191.976972</v>
      </c>
      <c r="F77" s="4">
        <f>IFERROR(D77/E77,"")</f>
        <v/>
      </c>
      <c r="G77" s="2" t="n">
        <v>2200346891.715768</v>
      </c>
      <c r="H77" s="2" t="n">
        <v>3694443.9203</v>
      </c>
      <c r="I77" t="n">
        <v>2</v>
      </c>
    </row>
    <row r="78">
      <c r="A78" t="inlineStr">
        <is>
          <t>MS</t>
        </is>
      </c>
      <c r="B78" t="inlineStr">
        <is>
          <t>Large group</t>
        </is>
      </c>
      <c r="C78" t="n">
        <v>11</v>
      </c>
      <c r="D78" s="2" t="n">
        <v>2830842469.14</v>
      </c>
      <c r="E78" s="2" t="n">
        <v>3124862814.68076</v>
      </c>
      <c r="F78" s="4">
        <f>IFERROR(D78/E78,"")</f>
        <v/>
      </c>
      <c r="G78" s="2" t="n">
        <v>1081876635.37</v>
      </c>
      <c r="H78" s="2" t="n">
        <v>16587.1074</v>
      </c>
      <c r="I78" t="n">
        <v>1</v>
      </c>
    </row>
    <row r="79">
      <c r="A79" t="inlineStr">
        <is>
          <t>MS</t>
        </is>
      </c>
      <c r="B79" t="inlineStr">
        <is>
          <t>Small group</t>
        </is>
      </c>
      <c r="C79" t="n">
        <v>7</v>
      </c>
      <c r="D79" s="2" t="n">
        <v>1130979859.32</v>
      </c>
      <c r="E79" s="2" t="n">
        <v>1291064764.46739</v>
      </c>
      <c r="F79" s="4">
        <f>IFERROR(D79/E79,"")</f>
        <v/>
      </c>
      <c r="G79" s="2" t="n">
        <v>434473394.8</v>
      </c>
      <c r="H79" s="2" t="n">
        <v>0</v>
      </c>
      <c r="I79" t="n">
        <v>0</v>
      </c>
    </row>
    <row r="80">
      <c r="A80" t="inlineStr">
        <is>
          <t>MT</t>
        </is>
      </c>
      <c r="B80" t="inlineStr">
        <is>
          <t>Individual</t>
        </is>
      </c>
      <c r="C80" t="n">
        <v>4</v>
      </c>
      <c r="D80" s="2" t="n">
        <v>1189162076.294249</v>
      </c>
      <c r="E80" s="2" t="n">
        <v>1288308488.756136</v>
      </c>
      <c r="F80" s="4">
        <f>IFERROR(D80/E80,"")</f>
        <v/>
      </c>
      <c r="G80" s="2" t="n">
        <v>525827104.91</v>
      </c>
      <c r="H80" s="2" t="n">
        <v>0</v>
      </c>
      <c r="I80" t="n">
        <v>0</v>
      </c>
    </row>
    <row r="81">
      <c r="A81" t="inlineStr">
        <is>
          <t>MT</t>
        </is>
      </c>
      <c r="B81" t="inlineStr">
        <is>
          <t>Large group</t>
        </is>
      </c>
      <c r="C81" t="n">
        <v>7</v>
      </c>
      <c r="D81" s="2" t="n">
        <v>1427813778.665561</v>
      </c>
      <c r="E81" s="2" t="n">
        <v>1514610398.045178</v>
      </c>
      <c r="F81" s="4">
        <f>IFERROR(D81/E81,"")</f>
        <v/>
      </c>
      <c r="G81" s="2" t="n">
        <v>564871547.5</v>
      </c>
      <c r="H81" s="2" t="n">
        <v>0</v>
      </c>
      <c r="I81" t="n">
        <v>0</v>
      </c>
    </row>
    <row r="82">
      <c r="A82" t="inlineStr">
        <is>
          <t>MT</t>
        </is>
      </c>
      <c r="B82" t="inlineStr">
        <is>
          <t>Small group</t>
        </is>
      </c>
      <c r="C82" t="n">
        <v>5</v>
      </c>
      <c r="D82" s="2" t="n">
        <v>778797774.4421606</v>
      </c>
      <c r="E82" s="2" t="n">
        <v>844894132.4709976</v>
      </c>
      <c r="F82" s="4">
        <f>IFERROR(D82/E82,"")</f>
        <v/>
      </c>
      <c r="G82" s="2" t="n">
        <v>300326613.74</v>
      </c>
      <c r="H82" s="2" t="n">
        <v>0</v>
      </c>
      <c r="I82" t="n">
        <v>0</v>
      </c>
    </row>
    <row r="83">
      <c r="A83" t="inlineStr">
        <is>
          <t>NC</t>
        </is>
      </c>
      <c r="B83" t="inlineStr">
        <is>
          <t>Individual</t>
        </is>
      </c>
      <c r="C83" t="n">
        <v>17</v>
      </c>
      <c r="D83" s="2" t="n">
        <v>14099996014.23988</v>
      </c>
      <c r="E83" s="2" t="n">
        <v>16608979151.50582</v>
      </c>
      <c r="F83" s="4">
        <f>IFERROR(D83/E83,"")</f>
        <v/>
      </c>
      <c r="G83" s="2" t="n">
        <v>7704318233.466274</v>
      </c>
      <c r="H83" s="2" t="n">
        <v>98186850.18545336</v>
      </c>
      <c r="I83" t="n">
        <v>3</v>
      </c>
    </row>
    <row r="84">
      <c r="A84" t="inlineStr">
        <is>
          <t>NC</t>
        </is>
      </c>
      <c r="B84" t="inlineStr">
        <is>
          <t>Large group</t>
        </is>
      </c>
      <c r="C84" t="n">
        <v>11</v>
      </c>
      <c r="D84" s="2" t="n">
        <v>9337000263.053579</v>
      </c>
      <c r="E84" s="2" t="n">
        <v>10593941160.40511</v>
      </c>
      <c r="F84" s="4">
        <f>IFERROR(D84/E84,"")</f>
        <v/>
      </c>
      <c r="G84" s="2" t="n">
        <v>3670656078.283303</v>
      </c>
      <c r="H84" s="2" t="n">
        <v>65738.73561999999</v>
      </c>
      <c r="I84" t="n">
        <v>2</v>
      </c>
    </row>
    <row r="85">
      <c r="A85" t="inlineStr">
        <is>
          <t>NC</t>
        </is>
      </c>
      <c r="B85" t="inlineStr">
        <is>
          <t>Small group</t>
        </is>
      </c>
      <c r="C85" t="n">
        <v>7</v>
      </c>
      <c r="D85" s="2" t="n">
        <v>4012086344.857559</v>
      </c>
      <c r="E85" s="2" t="n">
        <v>4688110888.355886</v>
      </c>
      <c r="F85" s="4">
        <f>IFERROR(D85/E85,"")</f>
        <v/>
      </c>
      <c r="G85" s="2" t="n">
        <v>1620035593.386697</v>
      </c>
      <c r="H85" s="2" t="n">
        <v>1442865.4328</v>
      </c>
      <c r="I85" t="n">
        <v>2</v>
      </c>
    </row>
    <row r="86">
      <c r="A86" t="inlineStr">
        <is>
          <t>ND</t>
        </is>
      </c>
      <c r="B86" t="inlineStr">
        <is>
          <t>Individual</t>
        </is>
      </c>
      <c r="C86" t="n">
        <v>6</v>
      </c>
      <c r="D86" s="2" t="n">
        <v>807559808.471447</v>
      </c>
      <c r="E86" s="2" t="n">
        <v>866152318.3956014</v>
      </c>
      <c r="F86" s="4">
        <f>IFERROR(D86/E86,"")</f>
        <v/>
      </c>
      <c r="G86" s="2" t="n">
        <v>323589996.3661291</v>
      </c>
      <c r="H86" s="2" t="n">
        <v>0</v>
      </c>
      <c r="I86" t="n">
        <v>0</v>
      </c>
    </row>
    <row r="87">
      <c r="A87" t="inlineStr">
        <is>
          <t>ND</t>
        </is>
      </c>
      <c r="B87" t="inlineStr">
        <is>
          <t>Large group</t>
        </is>
      </c>
      <c r="C87" t="n">
        <v>6</v>
      </c>
      <c r="D87" s="2" t="n">
        <v>2664504885.639068</v>
      </c>
      <c r="E87" s="2" t="n">
        <v>2887062543.666077</v>
      </c>
      <c r="F87" s="4">
        <f>IFERROR(D87/E87,"")</f>
        <v/>
      </c>
      <c r="G87" s="2" t="n">
        <v>1062581672.460486</v>
      </c>
      <c r="H87" s="2" t="n">
        <v>0</v>
      </c>
      <c r="I87" t="n">
        <v>0</v>
      </c>
    </row>
    <row r="88">
      <c r="A88" t="inlineStr">
        <is>
          <t>ND</t>
        </is>
      </c>
      <c r="B88" t="inlineStr">
        <is>
          <t>Small group</t>
        </is>
      </c>
      <c r="C88" t="n">
        <v>5</v>
      </c>
      <c r="D88" s="2" t="n">
        <v>942227593.4944934</v>
      </c>
      <c r="E88" s="2" t="n">
        <v>1043688083.629154</v>
      </c>
      <c r="F88" s="4">
        <f>IFERROR(D88/E88,"")</f>
        <v/>
      </c>
      <c r="G88" s="2" t="n">
        <v>361695370.770385</v>
      </c>
      <c r="H88" s="2" t="n">
        <v>0</v>
      </c>
      <c r="I88" t="n">
        <v>0</v>
      </c>
    </row>
    <row r="89">
      <c r="A89" t="inlineStr">
        <is>
          <t>NE</t>
        </is>
      </c>
      <c r="B89" t="inlineStr">
        <is>
          <t>Individual</t>
        </is>
      </c>
      <c r="C89" t="n">
        <v>9</v>
      </c>
      <c r="D89" s="2" t="n">
        <v>1897713010.060373</v>
      </c>
      <c r="E89" s="2" t="n">
        <v>2154164943.993168</v>
      </c>
      <c r="F89" s="4">
        <f>IFERROR(D89/E89,"")</f>
        <v/>
      </c>
      <c r="G89" s="2" t="n">
        <v>1170848953.877661</v>
      </c>
      <c r="H89" s="2" t="n">
        <v>4812442.631655249</v>
      </c>
      <c r="I89" t="n">
        <v>1</v>
      </c>
    </row>
    <row r="90">
      <c r="A90" t="inlineStr">
        <is>
          <t>NE</t>
        </is>
      </c>
      <c r="B90" t="inlineStr">
        <is>
          <t>Large group</t>
        </is>
      </c>
      <c r="C90" t="n">
        <v>9</v>
      </c>
      <c r="D90" s="2" t="n">
        <v>4071460305.013469</v>
      </c>
      <c r="E90" s="2" t="n">
        <v>4494513805.993913</v>
      </c>
      <c r="F90" s="4">
        <f>IFERROR(D90/E90,"")</f>
        <v/>
      </c>
      <c r="G90" s="2" t="n">
        <v>1625969052.08</v>
      </c>
      <c r="H90" s="2" t="n">
        <v>531918.0017</v>
      </c>
      <c r="I90" t="n">
        <v>1</v>
      </c>
    </row>
    <row r="91">
      <c r="A91" t="inlineStr">
        <is>
          <t>NE</t>
        </is>
      </c>
      <c r="B91" t="inlineStr">
        <is>
          <t>Small group</t>
        </is>
      </c>
      <c r="C91" t="n">
        <v>5</v>
      </c>
      <c r="D91" s="2" t="n">
        <v>553553538.3326778</v>
      </c>
      <c r="E91" s="2" t="n">
        <v>654179309.2553809</v>
      </c>
      <c r="F91" s="4">
        <f>IFERROR(D91/E91,"")</f>
        <v/>
      </c>
      <c r="G91" s="2" t="n">
        <v>196965802.61</v>
      </c>
      <c r="H91" s="2" t="n">
        <v>0</v>
      </c>
      <c r="I91" t="n">
        <v>0</v>
      </c>
    </row>
    <row r="92">
      <c r="A92" t="inlineStr">
        <is>
          <t>NH</t>
        </is>
      </c>
      <c r="B92" t="inlineStr">
        <is>
          <t>Individual</t>
        </is>
      </c>
      <c r="C92" t="n">
        <v>7</v>
      </c>
      <c r="D92" s="2" t="n">
        <v>807184817.349097</v>
      </c>
      <c r="E92" s="2" t="n">
        <v>1010216716.973272</v>
      </c>
      <c r="F92" s="4">
        <f>IFERROR(D92/E92,"")</f>
        <v/>
      </c>
      <c r="G92" s="2" t="n">
        <v>401994965.859897</v>
      </c>
      <c r="H92" s="2" t="n">
        <v>1477951.907314568</v>
      </c>
      <c r="I92" t="n">
        <v>1</v>
      </c>
    </row>
    <row r="93">
      <c r="A93" t="inlineStr">
        <is>
          <t>NH</t>
        </is>
      </c>
      <c r="B93" t="inlineStr">
        <is>
          <t>Large group</t>
        </is>
      </c>
      <c r="C93" t="n">
        <v>8</v>
      </c>
      <c r="D93" s="2" t="n">
        <v>2956478890.125639</v>
      </c>
      <c r="E93" s="2" t="n">
        <v>3324162516.175917</v>
      </c>
      <c r="F93" s="4">
        <f>IFERROR(D93/E93,"")</f>
        <v/>
      </c>
      <c r="G93" s="2" t="n">
        <v>1170400471.611411</v>
      </c>
      <c r="H93" s="2" t="n">
        <v>5856399.729750006</v>
      </c>
      <c r="I93" t="n">
        <v>1</v>
      </c>
    </row>
    <row r="94">
      <c r="A94" t="inlineStr">
        <is>
          <t>NH</t>
        </is>
      </c>
      <c r="B94" t="inlineStr">
        <is>
          <t>Small group</t>
        </is>
      </c>
      <c r="C94" t="n">
        <v>6</v>
      </c>
      <c r="D94" s="2" t="n">
        <v>1051390386.364224</v>
      </c>
      <c r="E94" s="2" t="n">
        <v>1259336657.926938</v>
      </c>
      <c r="F94" s="4">
        <f>IFERROR(D94/E94,"")</f>
        <v/>
      </c>
      <c r="G94" s="2" t="n">
        <v>447231853.475492</v>
      </c>
      <c r="H94" s="2" t="n">
        <v>1372224.392652001</v>
      </c>
      <c r="I94" t="n">
        <v>1</v>
      </c>
    </row>
    <row r="95">
      <c r="A95" t="inlineStr">
        <is>
          <t>NJ</t>
        </is>
      </c>
      <c r="B95" t="inlineStr">
        <is>
          <t>Individual</t>
        </is>
      </c>
      <c r="C95" t="n">
        <v>15</v>
      </c>
      <c r="D95" s="2" t="n">
        <v>7205281767.915998</v>
      </c>
      <c r="E95" s="2" t="n">
        <v>8627181260.488451</v>
      </c>
      <c r="F95" s="4">
        <f>IFERROR(D95/E95,"")</f>
        <v/>
      </c>
      <c r="G95" s="2" t="n">
        <v>3615129764.515389</v>
      </c>
      <c r="H95" s="2" t="n">
        <v>1193196.30955802</v>
      </c>
      <c r="I95" t="n">
        <v>1</v>
      </c>
    </row>
    <row r="96">
      <c r="A96" t="inlineStr">
        <is>
          <t>NJ</t>
        </is>
      </c>
      <c r="B96" t="inlineStr">
        <is>
          <t>Large group</t>
        </is>
      </c>
      <c r="C96" t="n">
        <v>13</v>
      </c>
      <c r="D96" s="2" t="n">
        <v>15517197019.07886</v>
      </c>
      <c r="E96" s="2" t="n">
        <v>16498442851.15027</v>
      </c>
      <c r="F96" s="4">
        <f>IFERROR(D96/E96,"")</f>
        <v/>
      </c>
      <c r="G96" s="2" t="n">
        <v>5874165650.204133</v>
      </c>
      <c r="H96" s="2" t="n">
        <v>21634265.0876619</v>
      </c>
      <c r="I96" t="n">
        <v>3</v>
      </c>
    </row>
    <row r="97">
      <c r="A97" t="inlineStr">
        <is>
          <t>NJ</t>
        </is>
      </c>
      <c r="B97" t="inlineStr">
        <is>
          <t>Small group</t>
        </is>
      </c>
      <c r="C97" t="n">
        <v>10</v>
      </c>
      <c r="D97" s="2" t="n">
        <v>5639736574.08</v>
      </c>
      <c r="E97" s="2" t="n">
        <v>6413456300.45779</v>
      </c>
      <c r="F97" s="4">
        <f>IFERROR(D97/E97,"")</f>
        <v/>
      </c>
      <c r="G97" s="2" t="n">
        <v>2040151063.44</v>
      </c>
      <c r="H97" s="2" t="n">
        <v>0</v>
      </c>
      <c r="I97" t="n">
        <v>0</v>
      </c>
    </row>
    <row r="98">
      <c r="A98" t="inlineStr">
        <is>
          <t>NM</t>
        </is>
      </c>
      <c r="B98" t="inlineStr">
        <is>
          <t>Individual</t>
        </is>
      </c>
      <c r="C98" t="n">
        <v>10</v>
      </c>
      <c r="D98" s="2" t="n">
        <v>875239372.2352077</v>
      </c>
      <c r="E98" s="2" t="n">
        <v>913510349.3156375</v>
      </c>
      <c r="F98" s="4">
        <f>IFERROR(D98/E98,"")</f>
        <v/>
      </c>
      <c r="G98" s="2" t="n">
        <v>455756419.03526</v>
      </c>
      <c r="H98" s="2" t="n">
        <v>5285687.570614971</v>
      </c>
      <c r="I98" t="n">
        <v>2</v>
      </c>
    </row>
    <row r="99">
      <c r="A99" t="inlineStr">
        <is>
          <t>NM</t>
        </is>
      </c>
      <c r="B99" t="inlineStr">
        <is>
          <t>Large group</t>
        </is>
      </c>
      <c r="C99" t="n">
        <v>8</v>
      </c>
      <c r="D99" s="2" t="n">
        <v>2055511120.022903</v>
      </c>
      <c r="E99" s="2" t="n">
        <v>2204611192.80502</v>
      </c>
      <c r="F99" s="4">
        <f>IFERROR(D99/E99,"")</f>
        <v/>
      </c>
      <c r="G99" s="2" t="n">
        <v>794458350.5333999</v>
      </c>
      <c r="H99" s="2" t="n">
        <v>0</v>
      </c>
      <c r="I99" t="n">
        <v>0</v>
      </c>
    </row>
    <row r="100">
      <c r="A100" t="inlineStr">
        <is>
          <t>NM</t>
        </is>
      </c>
      <c r="B100" t="inlineStr">
        <is>
          <t>Small group</t>
        </is>
      </c>
      <c r="C100" t="n">
        <v>5</v>
      </c>
      <c r="D100" s="2" t="n">
        <v>748597454.2101883</v>
      </c>
      <c r="E100" s="2" t="n">
        <v>851394770.4146638</v>
      </c>
      <c r="F100" s="4">
        <f>IFERROR(D100/E100,"")</f>
        <v/>
      </c>
      <c r="G100" s="2" t="n">
        <v>313609185.3467</v>
      </c>
      <c r="H100" s="2" t="n">
        <v>0</v>
      </c>
      <c r="I100" t="n">
        <v>0</v>
      </c>
    </row>
    <row r="101">
      <c r="A101" t="inlineStr">
        <is>
          <t>NV</t>
        </is>
      </c>
      <c r="B101" t="inlineStr">
        <is>
          <t>Individual</t>
        </is>
      </c>
      <c r="C101" t="n">
        <v>15</v>
      </c>
      <c r="D101" s="2" t="n">
        <v>1562322398.093097</v>
      </c>
      <c r="E101" s="2" t="n">
        <v>1817529823.601593</v>
      </c>
      <c r="F101" s="4">
        <f>IFERROR(D101/E101,"")</f>
        <v/>
      </c>
      <c r="G101" s="2" t="n">
        <v>714711515.53959</v>
      </c>
      <c r="H101" s="2" t="n">
        <v>6123007.19697005</v>
      </c>
      <c r="I101" t="n">
        <v>1</v>
      </c>
    </row>
    <row r="102">
      <c r="A102" t="inlineStr">
        <is>
          <t>NV</t>
        </is>
      </c>
      <c r="B102" t="inlineStr">
        <is>
          <t>Large group</t>
        </is>
      </c>
      <c r="C102" t="n">
        <v>15</v>
      </c>
      <c r="D102" s="2" t="n">
        <v>4652643313.849352</v>
      </c>
      <c r="E102" s="2" t="n">
        <v>5451926455.146023</v>
      </c>
      <c r="F102" s="4">
        <f>IFERROR(D102/E102,"")</f>
        <v/>
      </c>
      <c r="G102" s="2" t="n">
        <v>1944851202</v>
      </c>
      <c r="H102" s="2" t="n">
        <v>26389675.76755595</v>
      </c>
      <c r="I102" t="n">
        <v>4</v>
      </c>
    </row>
    <row r="103">
      <c r="A103" t="inlineStr">
        <is>
          <t>NV</t>
        </is>
      </c>
      <c r="B103" t="inlineStr">
        <is>
          <t>Small group</t>
        </is>
      </c>
      <c r="C103" t="n">
        <v>11</v>
      </c>
      <c r="D103" s="2" t="n">
        <v>1140488000.979448</v>
      </c>
      <c r="E103" s="2" t="n">
        <v>1362147950.337305</v>
      </c>
      <c r="F103" s="4">
        <f>IFERROR(D103/E103,"")</f>
        <v/>
      </c>
      <c r="G103" s="2" t="n">
        <v>475470313.554</v>
      </c>
      <c r="H103" s="2" t="n">
        <v>107640.1543220001</v>
      </c>
      <c r="I103" t="n">
        <v>1</v>
      </c>
    </row>
    <row r="104">
      <c r="A104" t="inlineStr">
        <is>
          <t>NY</t>
        </is>
      </c>
      <c r="B104" t="inlineStr">
        <is>
          <t>Individual</t>
        </is>
      </c>
      <c r="C104" t="n">
        <v>25</v>
      </c>
      <c r="D104" s="2" t="n">
        <v>5625259154.130561</v>
      </c>
      <c r="E104" s="2" t="n">
        <v>6045457882.534528</v>
      </c>
      <c r="F104" s="4">
        <f>IFERROR(D104/E104,"")</f>
        <v/>
      </c>
      <c r="G104" s="2" t="n">
        <v>2302575759.518699</v>
      </c>
      <c r="H104" s="2" t="n">
        <v>0</v>
      </c>
      <c r="I104" t="n">
        <v>0</v>
      </c>
    </row>
    <row r="105">
      <c r="A105" t="inlineStr">
        <is>
          <t>NY</t>
        </is>
      </c>
      <c r="B105" t="inlineStr">
        <is>
          <t>Large group</t>
        </is>
      </c>
      <c r="C105" t="n">
        <v>23</v>
      </c>
      <c r="D105" s="2" t="n">
        <v>48577133810.51963</v>
      </c>
      <c r="E105" s="2" t="n">
        <v>54515188688.23724</v>
      </c>
      <c r="F105" s="4">
        <f>IFERROR(D105/E105,"")</f>
        <v/>
      </c>
      <c r="G105" s="2" t="n">
        <v>19416832242.35466</v>
      </c>
      <c r="H105" s="2" t="n">
        <v>8964288.704500001</v>
      </c>
      <c r="I105" t="n">
        <v>2</v>
      </c>
    </row>
    <row r="106">
      <c r="A106" t="inlineStr">
        <is>
          <t>NY</t>
        </is>
      </c>
      <c r="B106" t="inlineStr">
        <is>
          <t>Small group</t>
        </is>
      </c>
      <c r="C106" t="n">
        <v>20</v>
      </c>
      <c r="D106" s="2" t="n">
        <v>18630413640.18036</v>
      </c>
      <c r="E106" s="2" t="n">
        <v>21448755010.61581</v>
      </c>
      <c r="F106" s="4">
        <f>IFERROR(D106/E106,"")</f>
        <v/>
      </c>
      <c r="G106" s="2" t="n">
        <v>7413585924.188</v>
      </c>
      <c r="H106" s="2" t="n">
        <v>0</v>
      </c>
      <c r="I106" t="n">
        <v>0</v>
      </c>
    </row>
    <row r="107">
      <c r="A107" t="inlineStr">
        <is>
          <t>OH</t>
        </is>
      </c>
      <c r="B107" t="inlineStr">
        <is>
          <t>Individual</t>
        </is>
      </c>
      <c r="C107" t="n">
        <v>22</v>
      </c>
      <c r="D107" s="2" t="n">
        <v>6069431476.571305</v>
      </c>
      <c r="E107" s="2" t="n">
        <v>7338471171.724593</v>
      </c>
      <c r="F107" s="4">
        <f>IFERROR(D107/E107,"")</f>
        <v/>
      </c>
      <c r="G107" s="2" t="n">
        <v>3493391586.694568</v>
      </c>
      <c r="H107" s="2" t="n">
        <v>60859602.04015904</v>
      </c>
      <c r="I107" t="n">
        <v>5</v>
      </c>
    </row>
    <row r="108">
      <c r="A108" t="inlineStr">
        <is>
          <t>OH</t>
        </is>
      </c>
      <c r="B108" t="inlineStr">
        <is>
          <t>Large group</t>
        </is>
      </c>
      <c r="C108" t="n">
        <v>21</v>
      </c>
      <c r="D108" s="2" t="n">
        <v>15831617054.49126</v>
      </c>
      <c r="E108" s="2" t="n">
        <v>17657067429.10545</v>
      </c>
      <c r="F108" s="4">
        <f>IFERROR(D108/E108,"")</f>
        <v/>
      </c>
      <c r="G108" s="2" t="n">
        <v>6171545382.423611</v>
      </c>
      <c r="H108" s="2" t="n">
        <v>87366.78476999995</v>
      </c>
      <c r="I108" t="n">
        <v>1</v>
      </c>
    </row>
    <row r="109">
      <c r="A109" t="inlineStr">
        <is>
          <t>OH</t>
        </is>
      </c>
      <c r="B109" t="inlineStr">
        <is>
          <t>Small group</t>
        </is>
      </c>
      <c r="C109" t="n">
        <v>16</v>
      </c>
      <c r="D109" s="2" t="n">
        <v>2750558133.606728</v>
      </c>
      <c r="E109" s="2" t="n">
        <v>3497575773.524519</v>
      </c>
      <c r="F109" s="4">
        <f>IFERROR(D109/E109,"")</f>
        <v/>
      </c>
      <c r="G109" s="2" t="n">
        <v>1068448963.274012</v>
      </c>
      <c r="H109" s="2" t="n">
        <v>17953962.48542802</v>
      </c>
      <c r="I109" t="n">
        <v>4</v>
      </c>
    </row>
    <row r="110">
      <c r="A110" t="inlineStr">
        <is>
          <t>OK</t>
        </is>
      </c>
      <c r="B110" t="inlineStr">
        <is>
          <t>Individual</t>
        </is>
      </c>
      <c r="C110" t="n">
        <v>15</v>
      </c>
      <c r="D110" s="2" t="n">
        <v>4336662238.630956</v>
      </c>
      <c r="E110" s="2" t="n">
        <v>4695832698.421261</v>
      </c>
      <c r="F110" s="4">
        <f>IFERROR(D110/E110,"")</f>
        <v/>
      </c>
      <c r="G110" s="2" t="n">
        <v>2345152139.905064</v>
      </c>
      <c r="H110" s="2" t="n">
        <v>86762492.84068015</v>
      </c>
      <c r="I110" t="n">
        <v>3</v>
      </c>
    </row>
    <row r="111">
      <c r="A111" t="inlineStr">
        <is>
          <t>OK</t>
        </is>
      </c>
      <c r="B111" t="inlineStr">
        <is>
          <t>Large group</t>
        </is>
      </c>
      <c r="C111" t="n">
        <v>12</v>
      </c>
      <c r="D111" s="2" t="n">
        <v>6573883231.252949</v>
      </c>
      <c r="E111" s="2" t="n">
        <v>7127377541.07233</v>
      </c>
      <c r="F111" s="4">
        <f>IFERROR(D111/E111,"")</f>
        <v/>
      </c>
      <c r="G111" s="2" t="n">
        <v>2531513261.43</v>
      </c>
      <c r="H111" s="2" t="n">
        <v>0</v>
      </c>
      <c r="I111" t="n">
        <v>0</v>
      </c>
    </row>
    <row r="112">
      <c r="A112" t="inlineStr">
        <is>
          <t>OK</t>
        </is>
      </c>
      <c r="B112" t="inlineStr">
        <is>
          <t>Small group</t>
        </is>
      </c>
      <c r="C112" t="n">
        <v>7</v>
      </c>
      <c r="D112" s="2" t="n">
        <v>2472641466.479204</v>
      </c>
      <c r="E112" s="2" t="n">
        <v>2853038756.49417</v>
      </c>
      <c r="F112" s="4">
        <f>IFERROR(D112/E112,"")</f>
        <v/>
      </c>
      <c r="G112" s="2" t="n">
        <v>965794180.2</v>
      </c>
      <c r="H112" s="2" t="n">
        <v>1941238.5014</v>
      </c>
      <c r="I112" t="n">
        <v>1</v>
      </c>
    </row>
    <row r="113">
      <c r="A113" t="inlineStr">
        <is>
          <t>OR</t>
        </is>
      </c>
      <c r="B113" t="inlineStr">
        <is>
          <t>Individual</t>
        </is>
      </c>
      <c r="C113" t="n">
        <v>10</v>
      </c>
      <c r="D113" s="2" t="n">
        <v>3172666193.878567</v>
      </c>
      <c r="E113" s="2" t="n">
        <v>3432423125.362998</v>
      </c>
      <c r="F113" s="4">
        <f>IFERROR(D113/E113,"")</f>
        <v/>
      </c>
      <c r="G113" s="2" t="n">
        <v>1251855584.212772</v>
      </c>
      <c r="H113" s="2" t="n">
        <v>0</v>
      </c>
      <c r="I113" t="n">
        <v>0</v>
      </c>
    </row>
    <row r="114">
      <c r="A114" t="inlineStr">
        <is>
          <t>OR</t>
        </is>
      </c>
      <c r="B114" t="inlineStr">
        <is>
          <t>Large group</t>
        </is>
      </c>
      <c r="C114" t="n">
        <v>12</v>
      </c>
      <c r="D114" s="2" t="n">
        <v>11673259595.63277</v>
      </c>
      <c r="E114" s="2" t="n">
        <v>13124810048.19095</v>
      </c>
      <c r="F114" s="4">
        <f>IFERROR(D114/E114,"")</f>
        <v/>
      </c>
      <c r="G114" s="2" t="n">
        <v>4758854727.96</v>
      </c>
      <c r="H114" s="2" t="n">
        <v>0</v>
      </c>
      <c r="I114" t="n">
        <v>0</v>
      </c>
    </row>
    <row r="115">
      <c r="A115" t="inlineStr">
        <is>
          <t>OR</t>
        </is>
      </c>
      <c r="B115" t="inlineStr">
        <is>
          <t>Small group</t>
        </is>
      </c>
      <c r="C115" t="n">
        <v>9</v>
      </c>
      <c r="D115" s="2" t="n">
        <v>2864193230.221287</v>
      </c>
      <c r="E115" s="2" t="n">
        <v>3149706673.069336</v>
      </c>
      <c r="F115" s="4">
        <f>IFERROR(D115/E115,"")</f>
        <v/>
      </c>
      <c r="G115" s="2" t="n">
        <v>1102066707.14288</v>
      </c>
      <c r="H115" s="2" t="n">
        <v>0</v>
      </c>
      <c r="I115" t="n">
        <v>0</v>
      </c>
    </row>
    <row r="116">
      <c r="A116" t="inlineStr">
        <is>
          <t>PA</t>
        </is>
      </c>
      <c r="B116" t="inlineStr">
        <is>
          <t>Individual</t>
        </is>
      </c>
      <c r="C116" t="n">
        <v>30</v>
      </c>
      <c r="D116" s="2" t="n">
        <v>8498400834.401344</v>
      </c>
      <c r="E116" s="2" t="n">
        <v>9709853072.257368</v>
      </c>
      <c r="F116" s="4">
        <f>IFERROR(D116/E116,"")</f>
        <v/>
      </c>
      <c r="G116" s="2" t="n">
        <v>3693242981.251055</v>
      </c>
      <c r="H116" s="2" t="n">
        <v>5266777.4944</v>
      </c>
      <c r="I116" t="n">
        <v>3</v>
      </c>
    </row>
    <row r="117">
      <c r="A117" t="inlineStr">
        <is>
          <t>PA</t>
        </is>
      </c>
      <c r="B117" t="inlineStr">
        <is>
          <t>Large group</t>
        </is>
      </c>
      <c r="C117" t="n">
        <v>30</v>
      </c>
      <c r="D117" s="2" t="n">
        <v>22329028359.15667</v>
      </c>
      <c r="E117" s="2" t="n">
        <v>24893812294.2851</v>
      </c>
      <c r="F117" s="4">
        <f>IFERROR(D117/E117,"")</f>
        <v/>
      </c>
      <c r="G117" s="2" t="n">
        <v>8598719352.86412</v>
      </c>
      <c r="H117" s="2" t="n">
        <v>27065697.12934074</v>
      </c>
      <c r="I117" t="n">
        <v>7</v>
      </c>
    </row>
    <row r="118">
      <c r="A118" t="inlineStr">
        <is>
          <t>PA</t>
        </is>
      </c>
      <c r="B118" t="inlineStr">
        <is>
          <t>Small group</t>
        </is>
      </c>
      <c r="C118" t="n">
        <v>25</v>
      </c>
      <c r="D118" s="2" t="n">
        <v>8104926278.235399</v>
      </c>
      <c r="E118" s="2" t="n">
        <v>9564658876.106585</v>
      </c>
      <c r="F118" s="4">
        <f>IFERROR(D118/E118,"")</f>
        <v/>
      </c>
      <c r="G118" s="2" t="n">
        <v>3284814235.069177</v>
      </c>
      <c r="H118" s="2" t="n">
        <v>23396729</v>
      </c>
      <c r="I118" t="n">
        <v>2</v>
      </c>
    </row>
    <row r="119">
      <c r="A119" t="inlineStr">
        <is>
          <t>PR</t>
        </is>
      </c>
      <c r="B119" t="inlineStr">
        <is>
          <t>Individual</t>
        </is>
      </c>
      <c r="C119" t="n">
        <v>5</v>
      </c>
      <c r="D119" s="2" t="n">
        <v>438533777.5446864</v>
      </c>
      <c r="E119" s="2" t="n">
        <v>533992385</v>
      </c>
      <c r="F119" s="4">
        <f>IFERROR(D119/E119,"")</f>
        <v/>
      </c>
      <c r="G119" s="2" t="n">
        <v>182786739</v>
      </c>
      <c r="H119" s="2" t="n">
        <v>0</v>
      </c>
      <c r="I119" t="n">
        <v>0</v>
      </c>
    </row>
    <row r="120">
      <c r="A120" t="inlineStr">
        <is>
          <t>PR</t>
        </is>
      </c>
      <c r="B120" t="inlineStr">
        <is>
          <t>Large group</t>
        </is>
      </c>
      <c r="C120" t="n">
        <v>9</v>
      </c>
      <c r="D120" s="2" t="n">
        <v>2193126042.258475</v>
      </c>
      <c r="E120" s="2" t="n">
        <v>2486098761.090858</v>
      </c>
      <c r="F120" s="4">
        <f>IFERROR(D120/E120,"")</f>
        <v/>
      </c>
      <c r="G120" s="2" t="n">
        <v>855065558.2957191</v>
      </c>
      <c r="H120" s="2" t="n">
        <v>177812.5553500002</v>
      </c>
      <c r="I120" t="n">
        <v>1</v>
      </c>
    </row>
    <row r="121">
      <c r="A121" t="inlineStr">
        <is>
          <t>PR</t>
        </is>
      </c>
      <c r="B121" t="inlineStr">
        <is>
          <t>Small group</t>
        </is>
      </c>
      <c r="C121" t="n">
        <v>7</v>
      </c>
      <c r="D121" s="2" t="n">
        <v>302627841.5184449</v>
      </c>
      <c r="E121" s="2" t="n">
        <v>345276856.7490257</v>
      </c>
      <c r="F121" s="4">
        <f>IFERROR(D121/E121,"")</f>
        <v/>
      </c>
      <c r="G121" s="2" t="n">
        <v>104852170.0033806</v>
      </c>
      <c r="H121" s="2" t="n">
        <v>0</v>
      </c>
      <c r="I121" t="n">
        <v>0</v>
      </c>
    </row>
    <row r="122">
      <c r="A122" t="inlineStr">
        <is>
          <t>RI</t>
        </is>
      </c>
      <c r="B122" t="inlineStr">
        <is>
          <t>Individual</t>
        </is>
      </c>
      <c r="C122" t="n">
        <v>6</v>
      </c>
      <c r="D122" s="2" t="n">
        <v>658477910.7844325</v>
      </c>
      <c r="E122" s="2" t="n">
        <v>777590897.3627067</v>
      </c>
      <c r="F122" s="4">
        <f>IFERROR(D122/E122,"")</f>
        <v/>
      </c>
      <c r="G122" s="2" t="n">
        <v>326078862.36</v>
      </c>
      <c r="H122" s="2" t="n">
        <v>0</v>
      </c>
      <c r="I122" t="n">
        <v>0</v>
      </c>
    </row>
    <row r="123">
      <c r="A123" t="inlineStr">
        <is>
          <t>RI</t>
        </is>
      </c>
      <c r="B123" t="inlineStr">
        <is>
          <t>Large group</t>
        </is>
      </c>
      <c r="C123" t="n">
        <v>10</v>
      </c>
      <c r="D123" s="2" t="n">
        <v>1865617799.62556</v>
      </c>
      <c r="E123" s="2" t="n">
        <v>2108785064.211435</v>
      </c>
      <c r="F123" s="4">
        <f>IFERROR(D123/E123,"")</f>
        <v/>
      </c>
      <c r="G123" s="2" t="n">
        <v>761377619.8788215</v>
      </c>
      <c r="H123" s="2" t="n">
        <v>0</v>
      </c>
      <c r="I123" t="n">
        <v>0</v>
      </c>
    </row>
    <row r="124">
      <c r="A124" t="inlineStr">
        <is>
          <t>RI</t>
        </is>
      </c>
      <c r="B124" t="inlineStr">
        <is>
          <t>Small group</t>
        </is>
      </c>
      <c r="C124" t="n">
        <v>9</v>
      </c>
      <c r="D124" s="2" t="n">
        <v>820928350.2772784</v>
      </c>
      <c r="E124" s="2" t="n">
        <v>947885971.0604411</v>
      </c>
      <c r="F124" s="4">
        <f>IFERROR(D124/E124,"")</f>
        <v/>
      </c>
      <c r="G124" s="2" t="n">
        <v>336712949.281179</v>
      </c>
      <c r="H124" s="2" t="n">
        <v>0</v>
      </c>
      <c r="I124" t="n">
        <v>0</v>
      </c>
    </row>
    <row r="125">
      <c r="A125" t="inlineStr">
        <is>
          <t>SC</t>
        </is>
      </c>
      <c r="B125" t="inlineStr">
        <is>
          <t>Individual</t>
        </is>
      </c>
      <c r="C125" t="n">
        <v>14</v>
      </c>
      <c r="D125" s="2" t="n">
        <v>7195386105.680887</v>
      </c>
      <c r="E125" s="2" t="n">
        <v>8926618262.452641</v>
      </c>
      <c r="F125" s="4">
        <f>IFERROR(D125/E125,"")</f>
        <v/>
      </c>
      <c r="G125" s="2" t="n">
        <v>4749846855.385217</v>
      </c>
      <c r="H125" s="2" t="n">
        <v>133345939.580562</v>
      </c>
      <c r="I125" t="n">
        <v>3</v>
      </c>
    </row>
    <row r="126">
      <c r="A126" t="inlineStr">
        <is>
          <t>SC</t>
        </is>
      </c>
      <c r="B126" t="inlineStr">
        <is>
          <t>Large group</t>
        </is>
      </c>
      <c r="C126" t="n">
        <v>12</v>
      </c>
      <c r="D126" s="2" t="n">
        <v>5519001760.867051</v>
      </c>
      <c r="E126" s="2" t="n">
        <v>6136102857.710574</v>
      </c>
      <c r="F126" s="4">
        <f>IFERROR(D126/E126,"")</f>
        <v/>
      </c>
      <c r="G126" s="2" t="n">
        <v>2095722347.39</v>
      </c>
      <c r="H126" s="2" t="n">
        <v>0</v>
      </c>
      <c r="I126" t="n">
        <v>0</v>
      </c>
    </row>
    <row r="127">
      <c r="A127" t="inlineStr">
        <is>
          <t>SC</t>
        </is>
      </c>
      <c r="B127" t="inlineStr">
        <is>
          <t>Small group</t>
        </is>
      </c>
      <c r="C127" t="n">
        <v>7</v>
      </c>
      <c r="D127" s="2" t="n">
        <v>1232778278.59</v>
      </c>
      <c r="E127" s="2" t="n">
        <v>1550684727.82809</v>
      </c>
      <c r="F127" s="4">
        <f>IFERROR(D127/E127,"")</f>
        <v/>
      </c>
      <c r="G127" s="2" t="n">
        <v>506685461.61</v>
      </c>
      <c r="H127" s="2" t="n">
        <v>4851915.765000004</v>
      </c>
      <c r="I127" t="n">
        <v>1</v>
      </c>
    </row>
    <row r="128">
      <c r="A128" t="inlineStr">
        <is>
          <t>SD</t>
        </is>
      </c>
      <c r="B128" t="inlineStr">
        <is>
          <t>Individual</t>
        </is>
      </c>
      <c r="C128" t="n">
        <v>9</v>
      </c>
      <c r="D128" s="2" t="n">
        <v>1270709215.755657</v>
      </c>
      <c r="E128" s="2" t="n">
        <v>1402871845.974873</v>
      </c>
      <c r="F128" s="4">
        <f>IFERROR(D128/E128,"")</f>
        <v/>
      </c>
      <c r="G128" s="2" t="n">
        <v>502968662.088524</v>
      </c>
      <c r="H128" s="2" t="n">
        <v>0</v>
      </c>
      <c r="I128" t="n">
        <v>0</v>
      </c>
    </row>
    <row r="129">
      <c r="A129" t="inlineStr">
        <is>
          <t>SD</t>
        </is>
      </c>
      <c r="B129" t="inlineStr">
        <is>
          <t>Large group</t>
        </is>
      </c>
      <c r="C129" t="n">
        <v>10</v>
      </c>
      <c r="D129" s="2" t="n">
        <v>1850899885.656574</v>
      </c>
      <c r="E129" s="2" t="n">
        <v>2028432559.621723</v>
      </c>
      <c r="F129" s="4">
        <f>IFERROR(D129/E129,"")</f>
        <v/>
      </c>
      <c r="G129" s="2" t="n">
        <v>707641646.8900003</v>
      </c>
      <c r="H129" s="2" t="n">
        <v>0</v>
      </c>
      <c r="I129" t="n">
        <v>0</v>
      </c>
    </row>
    <row r="130">
      <c r="A130" t="inlineStr">
        <is>
          <t>SD</t>
        </is>
      </c>
      <c r="B130" t="inlineStr">
        <is>
          <t>Small group</t>
        </is>
      </c>
      <c r="C130" t="n">
        <v>7</v>
      </c>
      <c r="D130" s="2" t="n">
        <v>769034391.6779552</v>
      </c>
      <c r="E130" s="2" t="n">
        <v>890456513.6692718</v>
      </c>
      <c r="F130" s="4">
        <f>IFERROR(D130/E130,"")</f>
        <v/>
      </c>
      <c r="G130" s="2" t="n">
        <v>301168866.6999999</v>
      </c>
      <c r="H130" s="2" t="n">
        <v>0</v>
      </c>
      <c r="I130" t="n">
        <v>0</v>
      </c>
    </row>
    <row r="131">
      <c r="A131" t="inlineStr">
        <is>
          <t>TN</t>
        </is>
      </c>
      <c r="B131" t="inlineStr">
        <is>
          <t>Individual</t>
        </is>
      </c>
      <c r="C131" t="n">
        <v>14</v>
      </c>
      <c r="D131" s="2" t="n">
        <v>7139966528.098705</v>
      </c>
      <c r="E131" s="2" t="n">
        <v>8337013668.367569</v>
      </c>
      <c r="F131" s="4">
        <f>IFERROR(D131/E131,"")</f>
        <v/>
      </c>
      <c r="G131" s="2" t="n">
        <v>4181673035.220988</v>
      </c>
      <c r="H131" s="2" t="n">
        <v>13707636.5323</v>
      </c>
      <c r="I131" t="n">
        <v>3</v>
      </c>
    </row>
    <row r="132">
      <c r="A132" t="inlineStr">
        <is>
          <t>TN</t>
        </is>
      </c>
      <c r="B132" t="inlineStr">
        <is>
          <t>Large group</t>
        </is>
      </c>
      <c r="C132" t="n">
        <v>14</v>
      </c>
      <c r="D132" s="2" t="n">
        <v>8482945301.124647</v>
      </c>
      <c r="E132" s="2" t="n">
        <v>9571813449.476061</v>
      </c>
      <c r="F132" s="4">
        <f>IFERROR(D132/E132,"")</f>
        <v/>
      </c>
      <c r="G132" s="2" t="n">
        <v>3387748250.150276</v>
      </c>
      <c r="H132" s="2" t="n">
        <v>2291908.22752695</v>
      </c>
      <c r="I132" t="n">
        <v>4</v>
      </c>
    </row>
    <row r="133">
      <c r="A133" t="inlineStr">
        <is>
          <t>TN</t>
        </is>
      </c>
      <c r="B133" t="inlineStr">
        <is>
          <t>Small group</t>
        </is>
      </c>
      <c r="C133" t="n">
        <v>9</v>
      </c>
      <c r="D133" s="2" t="n">
        <v>2362229783.866911</v>
      </c>
      <c r="E133" s="2" t="n">
        <v>2857227769.75686</v>
      </c>
      <c r="F133" s="4">
        <f>IFERROR(D133/E133,"")</f>
        <v/>
      </c>
      <c r="G133" s="2" t="n">
        <v>968875580.8200001</v>
      </c>
      <c r="H133" s="2" t="n">
        <v>54985.5</v>
      </c>
      <c r="I133" t="n">
        <v>1</v>
      </c>
    </row>
    <row r="134">
      <c r="A134" t="inlineStr">
        <is>
          <t>TX</t>
        </is>
      </c>
      <c r="B134" t="inlineStr">
        <is>
          <t>Individual</t>
        </is>
      </c>
      <c r="C134" t="n">
        <v>27</v>
      </c>
      <c r="D134" s="2" t="n">
        <v>39440227468.24405</v>
      </c>
      <c r="E134" s="2" t="n">
        <v>47233963282.86399</v>
      </c>
      <c r="F134" s="4">
        <f>IFERROR(D134/E134,"")</f>
        <v/>
      </c>
      <c r="G134" s="2" t="n">
        <v>23187301687.85661</v>
      </c>
      <c r="H134" s="2" t="n">
        <v>116375434.1076348</v>
      </c>
      <c r="I134" t="n">
        <v>3</v>
      </c>
    </row>
    <row r="135">
      <c r="A135" t="inlineStr">
        <is>
          <t>TX</t>
        </is>
      </c>
      <c r="B135" t="inlineStr">
        <is>
          <t>Large group</t>
        </is>
      </c>
      <c r="C135" t="n">
        <v>19</v>
      </c>
      <c r="D135" s="2" t="n">
        <v>38553020387.50491</v>
      </c>
      <c r="E135" s="2" t="n">
        <v>41558362556.41832</v>
      </c>
      <c r="F135" s="4">
        <f>IFERROR(D135/E135,"")</f>
        <v/>
      </c>
      <c r="G135" s="2" t="n">
        <v>15026538573.2688</v>
      </c>
      <c r="H135" s="2" t="n">
        <v>3616031.589671751</v>
      </c>
      <c r="I135" t="n">
        <v>4</v>
      </c>
    </row>
    <row r="136">
      <c r="A136" t="inlineStr">
        <is>
          <t>TX</t>
        </is>
      </c>
      <c r="B136" t="inlineStr">
        <is>
          <t>Small group</t>
        </is>
      </c>
      <c r="C136" t="n">
        <v>13</v>
      </c>
      <c r="D136" s="2" t="n">
        <v>12958499094.96901</v>
      </c>
      <c r="E136" s="2" t="n">
        <v>14839448900.21983</v>
      </c>
      <c r="F136" s="4">
        <f>IFERROR(D136/E136,"")</f>
        <v/>
      </c>
      <c r="G136" s="2" t="n">
        <v>4986983496.14</v>
      </c>
      <c r="H136" s="2" t="n">
        <v>6733674.717300001</v>
      </c>
      <c r="I136" t="n">
        <v>3</v>
      </c>
    </row>
    <row r="137">
      <c r="A137" t="inlineStr">
        <is>
          <t>UT</t>
        </is>
      </c>
      <c r="B137" t="inlineStr">
        <is>
          <t>Individual</t>
        </is>
      </c>
      <c r="C137" t="n">
        <v>8</v>
      </c>
      <c r="D137" s="2" t="n">
        <v>4441526380.944371</v>
      </c>
      <c r="E137" s="2" t="n">
        <v>5038992365.46239</v>
      </c>
      <c r="F137" s="4">
        <f>IFERROR(D137/E137,"")</f>
        <v/>
      </c>
      <c r="G137" s="2" t="n">
        <v>2188204767.746554</v>
      </c>
      <c r="H137" s="2" t="n">
        <v>0</v>
      </c>
      <c r="I137" t="n">
        <v>0</v>
      </c>
    </row>
    <row r="138">
      <c r="A138" t="inlineStr">
        <is>
          <t>UT</t>
        </is>
      </c>
      <c r="B138" t="inlineStr">
        <is>
          <t>Large group</t>
        </is>
      </c>
      <c r="C138" t="n">
        <v>12</v>
      </c>
      <c r="D138" s="2" t="n">
        <v>6296297179.635141</v>
      </c>
      <c r="E138" s="2" t="n">
        <v>6888699204.777979</v>
      </c>
      <c r="F138" s="4">
        <f>IFERROR(D138/E138,"")</f>
        <v/>
      </c>
      <c r="G138" s="2" t="n">
        <v>2417048899.72</v>
      </c>
      <c r="H138" s="2" t="n">
        <v>574439.0596742</v>
      </c>
      <c r="I138" t="n">
        <v>2</v>
      </c>
    </row>
    <row r="139">
      <c r="A139" t="inlineStr">
        <is>
          <t>UT</t>
        </is>
      </c>
      <c r="B139" t="inlineStr">
        <is>
          <t>Small group</t>
        </is>
      </c>
      <c r="C139" t="n">
        <v>9</v>
      </c>
      <c r="D139" s="2" t="n">
        <v>1950881259.432225</v>
      </c>
      <c r="E139" s="2" t="n">
        <v>2185682975.77757</v>
      </c>
      <c r="F139" s="4">
        <f>IFERROR(D139/E139,"")</f>
        <v/>
      </c>
      <c r="G139" s="2" t="n">
        <v>740229927.4396081</v>
      </c>
      <c r="H139" s="2" t="n">
        <v>376425.296</v>
      </c>
      <c r="I139" t="n">
        <v>1</v>
      </c>
    </row>
    <row r="140">
      <c r="A140" t="inlineStr">
        <is>
          <t>VA</t>
        </is>
      </c>
      <c r="B140" t="inlineStr">
        <is>
          <t>Individual</t>
        </is>
      </c>
      <c r="C140" t="n">
        <v>19</v>
      </c>
      <c r="D140" s="2" t="n">
        <v>5312030234.844094</v>
      </c>
      <c r="E140" s="2" t="n">
        <v>6195102888.048521</v>
      </c>
      <c r="F140" s="4">
        <f>IFERROR(D140/E140,"")</f>
        <v/>
      </c>
      <c r="G140" s="2" t="n">
        <v>2188411458.39728</v>
      </c>
      <c r="H140" s="2" t="n">
        <v>23271501.91982402</v>
      </c>
      <c r="I140" t="n">
        <v>3</v>
      </c>
    </row>
    <row r="141">
      <c r="A141" t="inlineStr">
        <is>
          <t>VA</t>
        </is>
      </c>
      <c r="B141" t="inlineStr">
        <is>
          <t>Large group</t>
        </is>
      </c>
      <c r="C141" t="n">
        <v>23</v>
      </c>
      <c r="D141" s="2" t="n">
        <v>19697865787.92128</v>
      </c>
      <c r="E141" s="2" t="n">
        <v>21722184628.19796</v>
      </c>
      <c r="F141" s="4">
        <f>IFERROR(D141/E141,"")</f>
        <v/>
      </c>
      <c r="G141" s="2" t="n">
        <v>7787376633.17</v>
      </c>
      <c r="H141" s="2" t="n">
        <v>11782402.60124976</v>
      </c>
      <c r="I141" t="n">
        <v>6</v>
      </c>
    </row>
    <row r="142">
      <c r="A142" t="inlineStr">
        <is>
          <t>VA</t>
        </is>
      </c>
      <c r="B142" t="inlineStr">
        <is>
          <t>Small group</t>
        </is>
      </c>
      <c r="C142" t="n">
        <v>19</v>
      </c>
      <c r="D142" s="2" t="n">
        <v>4947849555.326186</v>
      </c>
      <c r="E142" s="2" t="n">
        <v>5923516687.019767</v>
      </c>
      <c r="F142" s="4">
        <f>IFERROR(D142/E142,"")</f>
        <v/>
      </c>
      <c r="G142" s="2" t="n">
        <v>2054097532.078</v>
      </c>
      <c r="H142" s="2" t="n">
        <v>8165859.538248007</v>
      </c>
      <c r="I142" t="n">
        <v>2</v>
      </c>
    </row>
    <row r="143">
      <c r="A143" t="inlineStr">
        <is>
          <t>VI</t>
        </is>
      </c>
      <c r="B143" t="inlineStr">
        <is>
          <t>Large group</t>
        </is>
      </c>
      <c r="C143" t="n">
        <v>2</v>
      </c>
      <c r="D143" s="2" t="n">
        <v>515962422.11</v>
      </c>
      <c r="E143" s="2" t="n">
        <v>575148214.34</v>
      </c>
      <c r="F143" s="4">
        <f>IFERROR(D143/E143,"")</f>
        <v/>
      </c>
      <c r="G143" s="2" t="n">
        <v>199211188.19</v>
      </c>
      <c r="H143" s="2" t="n">
        <v>0</v>
      </c>
      <c r="I143" t="n">
        <v>0</v>
      </c>
    </row>
    <row r="144">
      <c r="A144" t="inlineStr">
        <is>
          <t>VI</t>
        </is>
      </c>
      <c r="B144" t="inlineStr">
        <is>
          <t>Small group</t>
        </is>
      </c>
      <c r="C144" t="n">
        <v>2</v>
      </c>
      <c r="D144" s="2" t="n">
        <v>59907878.11</v>
      </c>
      <c r="E144" s="2" t="n">
        <v>70088558.65000001</v>
      </c>
      <c r="F144" s="4">
        <f>IFERROR(D144/E144,"")</f>
        <v/>
      </c>
      <c r="G144" s="2" t="n">
        <v>25003585.1</v>
      </c>
      <c r="H144" s="2" t="n">
        <v>0</v>
      </c>
      <c r="I144" t="n">
        <v>0</v>
      </c>
    </row>
    <row r="145">
      <c r="A145" t="inlineStr">
        <is>
          <t>VT</t>
        </is>
      </c>
      <c r="B145" t="inlineStr">
        <is>
          <t>Individual</t>
        </is>
      </c>
      <c r="C145" t="n">
        <v>3</v>
      </c>
      <c r="D145" s="2" t="n">
        <v>858477542.3565919</v>
      </c>
      <c r="E145" s="2" t="n">
        <v>874573600.5004344</v>
      </c>
      <c r="F145" s="4">
        <f>IFERROR(D145/E145,"")</f>
        <v/>
      </c>
      <c r="G145" s="2" t="n">
        <v>352312740.23</v>
      </c>
      <c r="H145" s="2" t="n">
        <v>0</v>
      </c>
      <c r="I145" t="n">
        <v>0</v>
      </c>
    </row>
    <row r="146">
      <c r="A146" t="inlineStr">
        <is>
          <t>VT</t>
        </is>
      </c>
      <c r="B146" t="inlineStr">
        <is>
          <t>Large group</t>
        </is>
      </c>
      <c r="C146" t="n">
        <v>4</v>
      </c>
      <c r="D146" s="2" t="n">
        <v>604323846.939653</v>
      </c>
      <c r="E146" s="2" t="n">
        <v>650188759.7922531</v>
      </c>
      <c r="F146" s="4">
        <f>IFERROR(D146/E146,"")</f>
        <v/>
      </c>
      <c r="G146" s="2" t="n">
        <v>234708043.68</v>
      </c>
      <c r="H146" s="2" t="n">
        <v>0</v>
      </c>
      <c r="I146" t="n">
        <v>0</v>
      </c>
    </row>
    <row r="147">
      <c r="A147" t="inlineStr">
        <is>
          <t>VT</t>
        </is>
      </c>
      <c r="B147" t="inlineStr">
        <is>
          <t>Small group</t>
        </is>
      </c>
      <c r="C147" t="n">
        <v>3</v>
      </c>
      <c r="D147" s="2" t="n">
        <v>917577726.120198</v>
      </c>
      <c r="E147" s="2" t="n">
        <v>927347030.8778304</v>
      </c>
      <c r="F147" s="4">
        <f>IFERROR(D147/E147,"")</f>
        <v/>
      </c>
      <c r="G147" s="2" t="n">
        <v>333856919.2</v>
      </c>
      <c r="H147" s="2" t="n">
        <v>0</v>
      </c>
      <c r="I147" t="n">
        <v>0</v>
      </c>
    </row>
    <row r="148">
      <c r="A148" t="inlineStr">
        <is>
          <t>WA</t>
        </is>
      </c>
      <c r="B148" t="inlineStr">
        <is>
          <t>Individual</t>
        </is>
      </c>
      <c r="C148" t="n">
        <v>19</v>
      </c>
      <c r="D148" s="2" t="n">
        <v>4489344928.169124</v>
      </c>
      <c r="E148" s="2" t="n">
        <v>5023512370.997333</v>
      </c>
      <c r="F148" s="4">
        <f>IFERROR(D148/E148,"")</f>
        <v/>
      </c>
      <c r="G148" s="2" t="n">
        <v>2243910009.155898</v>
      </c>
      <c r="H148" s="2" t="n">
        <v>0</v>
      </c>
      <c r="I148" t="n">
        <v>0</v>
      </c>
    </row>
    <row r="149">
      <c r="A149" t="inlineStr">
        <is>
          <t>WA</t>
        </is>
      </c>
      <c r="B149" t="inlineStr">
        <is>
          <t>Large group</t>
        </is>
      </c>
      <c r="C149" t="n">
        <v>18</v>
      </c>
      <c r="D149" s="2" t="n">
        <v>18046165647.29249</v>
      </c>
      <c r="E149" s="2" t="n">
        <v>20131551267.49913</v>
      </c>
      <c r="F149" s="4">
        <f>IFERROR(D149/E149,"")</f>
        <v/>
      </c>
      <c r="G149" s="2" t="n">
        <v>7126806894.778599</v>
      </c>
      <c r="H149" s="2" t="n">
        <v>458078.633889652</v>
      </c>
      <c r="I149" t="n">
        <v>1</v>
      </c>
    </row>
    <row r="150">
      <c r="A150" t="inlineStr">
        <is>
          <t>WA</t>
        </is>
      </c>
      <c r="B150" t="inlineStr">
        <is>
          <t>Small group</t>
        </is>
      </c>
      <c r="C150" t="n">
        <v>13</v>
      </c>
      <c r="D150" s="2" t="n">
        <v>3837526748.286359</v>
      </c>
      <c r="E150" s="2" t="n">
        <v>4365926498.348826</v>
      </c>
      <c r="F150" s="4">
        <f>IFERROR(D150/E150,"")</f>
        <v/>
      </c>
      <c r="G150" s="2" t="n">
        <v>1548948760.948513</v>
      </c>
      <c r="H150" s="2" t="n">
        <v>468433.8353</v>
      </c>
      <c r="I150" t="n">
        <v>1</v>
      </c>
    </row>
    <row r="151">
      <c r="A151" t="inlineStr">
        <is>
          <t>WI</t>
        </is>
      </c>
      <c r="B151" t="inlineStr">
        <is>
          <t>Individual</t>
        </is>
      </c>
      <c r="C151" t="n">
        <v>25</v>
      </c>
      <c r="D151" s="2" t="n">
        <v>5202845601.117268</v>
      </c>
      <c r="E151" s="2" t="n">
        <v>5637732283.945494</v>
      </c>
      <c r="F151" s="4">
        <f>IFERROR(D151/E151,"")</f>
        <v/>
      </c>
      <c r="G151" s="2" t="n">
        <v>2267032405.066</v>
      </c>
      <c r="H151" s="2" t="n">
        <v>1039306.0742</v>
      </c>
      <c r="I151" t="n">
        <v>1</v>
      </c>
    </row>
    <row r="152">
      <c r="A152" t="inlineStr">
        <is>
          <t>WI</t>
        </is>
      </c>
      <c r="B152" t="inlineStr">
        <is>
          <t>Large group</t>
        </is>
      </c>
      <c r="C152" t="n">
        <v>25</v>
      </c>
      <c r="D152" s="2" t="n">
        <v>16073472218.5009</v>
      </c>
      <c r="E152" s="2" t="n">
        <v>17609036763.30415</v>
      </c>
      <c r="F152" s="4">
        <f>IFERROR(D152/E152,"")</f>
        <v/>
      </c>
      <c r="G152" s="2" t="n">
        <v>6197483645.153541</v>
      </c>
      <c r="H152" s="2" t="n">
        <v>7180240.8823</v>
      </c>
      <c r="I152" t="n">
        <v>1</v>
      </c>
    </row>
    <row r="153">
      <c r="A153" t="inlineStr">
        <is>
          <t>WI</t>
        </is>
      </c>
      <c r="B153" t="inlineStr">
        <is>
          <t>Small group</t>
        </is>
      </c>
      <c r="C153" t="n">
        <v>24</v>
      </c>
      <c r="D153" s="2" t="n">
        <v>2564802003.925922</v>
      </c>
      <c r="E153" s="2" t="n">
        <v>3005660702.815939</v>
      </c>
      <c r="F153" s="4">
        <f>IFERROR(D153/E153,"")</f>
        <v/>
      </c>
      <c r="G153" s="2" t="n">
        <v>999392119.9804591</v>
      </c>
      <c r="H153" s="2" t="n">
        <v>9453103.758008</v>
      </c>
      <c r="I153" t="n">
        <v>4</v>
      </c>
    </row>
    <row r="154">
      <c r="A154" t="inlineStr">
        <is>
          <t>WV</t>
        </is>
      </c>
      <c r="B154" t="inlineStr">
        <is>
          <t>Individual</t>
        </is>
      </c>
      <c r="C154" t="n">
        <v>8</v>
      </c>
      <c r="D154" s="2" t="n">
        <v>1172642642.30443</v>
      </c>
      <c r="E154" s="2" t="n">
        <v>1387977910.424171</v>
      </c>
      <c r="F154" s="4">
        <f>IFERROR(D154/E154,"")</f>
        <v/>
      </c>
      <c r="G154" s="2" t="n">
        <v>713255914.0725772</v>
      </c>
      <c r="H154" s="2" t="n">
        <v>0</v>
      </c>
      <c r="I154" t="n">
        <v>0</v>
      </c>
    </row>
    <row r="155">
      <c r="A155" t="inlineStr">
        <is>
          <t>WV</t>
        </is>
      </c>
      <c r="B155" t="inlineStr">
        <is>
          <t>Large group</t>
        </is>
      </c>
      <c r="C155" t="n">
        <v>9</v>
      </c>
      <c r="D155" s="2" t="n">
        <v>2943173101.980627</v>
      </c>
      <c r="E155" s="2" t="n">
        <v>3102310374.152293</v>
      </c>
      <c r="F155" s="4">
        <f>IFERROR(D155/E155,"")</f>
        <v/>
      </c>
      <c r="G155" s="2" t="n">
        <v>1105756597.858923</v>
      </c>
      <c r="H155" s="2" t="n">
        <v>0</v>
      </c>
      <c r="I155" t="n">
        <v>0</v>
      </c>
    </row>
    <row r="156">
      <c r="A156" t="inlineStr">
        <is>
          <t>WV</t>
        </is>
      </c>
      <c r="B156" t="inlineStr">
        <is>
          <t>Small group</t>
        </is>
      </c>
      <c r="C156" t="n">
        <v>6</v>
      </c>
      <c r="D156" s="2" t="n">
        <v>640729606.7892488</v>
      </c>
      <c r="E156" s="2" t="n">
        <v>722916852.8135266</v>
      </c>
      <c r="F156" s="4">
        <f>IFERROR(D156/E156,"")</f>
        <v/>
      </c>
      <c r="G156" s="2" t="n">
        <v>240107305.6560699</v>
      </c>
      <c r="H156" s="2" t="n">
        <v>0</v>
      </c>
      <c r="I156" t="n">
        <v>0</v>
      </c>
    </row>
    <row r="157">
      <c r="A157" t="inlineStr">
        <is>
          <t>WY</t>
        </is>
      </c>
      <c r="B157" t="inlineStr">
        <is>
          <t>Individual</t>
        </is>
      </c>
      <c r="C157" t="n">
        <v>7</v>
      </c>
      <c r="D157" s="2" t="n">
        <v>1177286401.474765</v>
      </c>
      <c r="E157" s="2" t="n">
        <v>1228256498.52</v>
      </c>
      <c r="F157" s="4">
        <f>IFERROR(D157/E157,"")</f>
        <v/>
      </c>
      <c r="G157" s="2" t="n">
        <v>466472290.33</v>
      </c>
      <c r="H157" s="2" t="n">
        <v>0</v>
      </c>
      <c r="I157" t="n">
        <v>0</v>
      </c>
    </row>
    <row r="158">
      <c r="A158" t="inlineStr">
        <is>
          <t>WY</t>
        </is>
      </c>
      <c r="B158" t="inlineStr">
        <is>
          <t>Large group</t>
        </is>
      </c>
      <c r="C158" t="n">
        <v>7</v>
      </c>
      <c r="D158" s="2" t="n">
        <v>705502706.08</v>
      </c>
      <c r="E158" s="2" t="n">
        <v>704246646.3291399</v>
      </c>
      <c r="F158" s="4">
        <f>IFERROR(D158/E158,"")</f>
        <v/>
      </c>
      <c r="G158" s="2" t="n">
        <v>261289517.94</v>
      </c>
      <c r="H158" s="2" t="n">
        <v>581552.7827990996</v>
      </c>
      <c r="I158" t="n">
        <v>1</v>
      </c>
    </row>
    <row r="159">
      <c r="A159" t="inlineStr">
        <is>
          <t>WY</t>
        </is>
      </c>
      <c r="B159" t="inlineStr">
        <is>
          <t>Small group</t>
        </is>
      </c>
      <c r="C159" t="n">
        <v>4</v>
      </c>
      <c r="D159" s="2" t="n">
        <v>292684856.59</v>
      </c>
      <c r="E159" s="2" t="n">
        <v>349115962.08</v>
      </c>
      <c r="F159" s="4">
        <f>IFERROR(D159/E159,"")</f>
        <v/>
      </c>
      <c r="G159" s="2" t="n">
        <v>122363475.88</v>
      </c>
      <c r="H159" s="2" t="n">
        <v>1373452.0768</v>
      </c>
      <c r="I159" t="n">
        <v>1</v>
      </c>
    </row>
  </sheetData>
  <autoFilter ref="A1:I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4" customWidth="1" min="4" max="4"/>
    <col width="14" customWidth="1" min="5" max="5"/>
    <col width="16" customWidth="1" min="6" max="6"/>
    <col width="8" customWidth="1" min="7" max="7"/>
    <col width="14" customWidth="1" min="8" max="8"/>
    <col width="14" customWidth="1" min="9" max="9"/>
    <col width="20" customWidth="1" min="10" max="10"/>
  </cols>
  <sheetData>
    <row r="1">
      <c r="A1" s="3" t="inlineStr">
        <is>
          <t>State</t>
        </is>
      </c>
      <c r="B1" s="3" t="inlineStr">
        <is>
          <t>Market</t>
        </is>
      </c>
      <c r="C1" s="3" t="inlineStr">
        <is>
          <t>Company</t>
        </is>
      </c>
      <c r="D1" s="3" t="inlineStr">
        <is>
          <t>Adjusted MLR</t>
        </is>
      </c>
      <c r="E1" s="3" t="inlineStr">
        <is>
          <t>MLR standard</t>
        </is>
      </c>
      <c r="F1" s="3" t="inlineStr">
        <is>
          <t>Peer median MLR</t>
        </is>
      </c>
      <c r="G1" s="3" t="inlineStr">
        <is>
          <t>Peers</t>
        </is>
      </c>
      <c r="H1" s="3" t="inlineStr">
        <is>
          <t>Rank (high→low)</t>
        </is>
      </c>
      <c r="I1" s="3" t="inlineStr">
        <is>
          <t>Rebate</t>
        </is>
      </c>
      <c r="J1" s="3" t="inlineStr">
        <is>
          <t>Earned premium (yr)</t>
        </is>
      </c>
    </row>
    <row r="2">
      <c r="A2" t="inlineStr">
        <is>
          <t>IL</t>
        </is>
      </c>
      <c r="B2" t="inlineStr">
        <is>
          <t>Individual</t>
        </is>
      </c>
      <c r="C2" t="inlineStr">
        <is>
          <t>Health Care Service Corporation, a Mutual Legal Reserve Company</t>
        </is>
      </c>
      <c r="D2" s="4" t="n">
        <v>0.893</v>
      </c>
      <c r="E2" s="4" t="n">
        <v>0.8</v>
      </c>
      <c r="F2" s="4" t="n">
        <v>0.912</v>
      </c>
      <c r="G2" t="n">
        <v>13</v>
      </c>
      <c r="H2" t="n">
        <v>9</v>
      </c>
      <c r="I2" s="2" t="n">
        <v>0</v>
      </c>
      <c r="J2" s="2" t="n">
        <v>2212228965.78</v>
      </c>
    </row>
    <row r="3">
      <c r="A3" t="inlineStr">
        <is>
          <t>IL</t>
        </is>
      </c>
      <c r="B3" t="inlineStr">
        <is>
          <t>Large group</t>
        </is>
      </c>
      <c r="C3" t="inlineStr">
        <is>
          <t>Health Care Service Corporation, a Mutual Legal Reserve Company</t>
        </is>
      </c>
      <c r="D3" s="4" t="n">
        <v>0.9399999999999999</v>
      </c>
      <c r="E3" s="4" t="n">
        <v>0.85</v>
      </c>
      <c r="F3" s="4" t="n">
        <v>0.914</v>
      </c>
      <c r="G3" t="n">
        <v>17</v>
      </c>
      <c r="H3" t="n">
        <v>6</v>
      </c>
      <c r="I3" s="2" t="n">
        <v>0</v>
      </c>
      <c r="J3" s="2" t="n">
        <v>9151775639</v>
      </c>
    </row>
    <row r="4">
      <c r="A4" t="inlineStr">
        <is>
          <t>IL</t>
        </is>
      </c>
      <c r="B4" t="inlineStr">
        <is>
          <t>Small group</t>
        </is>
      </c>
      <c r="C4" t="inlineStr">
        <is>
          <t>Health Care Service Corporation, a Mutual Legal Reserve Company</t>
        </is>
      </c>
      <c r="D4" s="4" t="n">
        <v>0.877</v>
      </c>
      <c r="E4" s="4" t="n">
        <v>0.8</v>
      </c>
      <c r="F4" s="4" t="n">
        <v>0.9145000000000001</v>
      </c>
      <c r="G4" t="n">
        <v>8</v>
      </c>
      <c r="H4" t="n">
        <v>6</v>
      </c>
      <c r="I4" s="2" t="n">
        <v>0</v>
      </c>
      <c r="J4" s="2" t="n">
        <v>3225526419.9</v>
      </c>
    </row>
    <row r="5">
      <c r="A5" t="inlineStr">
        <is>
          <t>MT</t>
        </is>
      </c>
      <c r="B5" t="inlineStr">
        <is>
          <t>Individual</t>
        </is>
      </c>
      <c r="C5" t="inlineStr">
        <is>
          <t>Health Care Service Corporation, a Mutual Legal Reserve Company</t>
        </is>
      </c>
      <c r="D5" s="4" t="n">
        <v>0.914</v>
      </c>
      <c r="E5" s="4" t="n">
        <v>0.8</v>
      </c>
      <c r="F5" s="4" t="n">
        <v>0.9339999999999999</v>
      </c>
      <c r="G5" t="n">
        <v>2</v>
      </c>
      <c r="H5" t="n">
        <v>3</v>
      </c>
      <c r="I5" s="2" t="n">
        <v>0</v>
      </c>
      <c r="J5" s="2" t="n">
        <v>253862098.82</v>
      </c>
    </row>
    <row r="6">
      <c r="A6" t="inlineStr">
        <is>
          <t>MT</t>
        </is>
      </c>
      <c r="B6" t="inlineStr">
        <is>
          <t>Large group</t>
        </is>
      </c>
      <c r="C6" t="inlineStr">
        <is>
          <t>Health Care Service Corporation, a Mutual Legal Reserve Company</t>
        </is>
      </c>
      <c r="D6" s="4" t="n">
        <v>0.944</v>
      </c>
      <c r="E6" s="4" t="n">
        <v>0.85</v>
      </c>
      <c r="F6" s="4" t="n">
        <v>1.0215</v>
      </c>
      <c r="G6" t="n">
        <v>2</v>
      </c>
      <c r="H6" t="n">
        <v>2</v>
      </c>
      <c r="I6" s="2" t="n">
        <v>0</v>
      </c>
      <c r="J6" s="2" t="n">
        <v>513751476</v>
      </c>
    </row>
    <row r="7">
      <c r="A7" t="inlineStr">
        <is>
          <t>MT</t>
        </is>
      </c>
      <c r="B7" t="inlineStr">
        <is>
          <t>Small group</t>
        </is>
      </c>
      <c r="C7" t="inlineStr">
        <is>
          <t>Health Care Service Corporation, a Mutual Legal Reserve Company</t>
        </is>
      </c>
      <c r="D7" s="4" t="n">
        <v>0.9360000000000001</v>
      </c>
      <c r="E7" s="4" t="n">
        <v>0.8</v>
      </c>
      <c r="F7" s="4" t="n">
        <v>0.911</v>
      </c>
      <c r="G7" t="n">
        <v>3</v>
      </c>
      <c r="H7" t="n">
        <v>2</v>
      </c>
      <c r="I7" s="2" t="n">
        <v>0</v>
      </c>
      <c r="J7" s="2" t="n">
        <v>173295952.61</v>
      </c>
    </row>
    <row r="8">
      <c r="A8" t="inlineStr">
        <is>
          <t>NM</t>
        </is>
      </c>
      <c r="B8" t="inlineStr">
        <is>
          <t>Individual</t>
        </is>
      </c>
      <c r="C8" t="inlineStr">
        <is>
          <t>Health Care Service Corporation, a Mutual Legal Reserve Company</t>
        </is>
      </c>
      <c r="D8" s="4" t="n">
        <v>1.015</v>
      </c>
      <c r="E8" s="4" t="n">
        <v>0.8</v>
      </c>
      <c r="F8" s="4" t="n">
        <v>0.9370000000000001</v>
      </c>
      <c r="G8" t="n">
        <v>4</v>
      </c>
      <c r="H8" t="n">
        <v>3</v>
      </c>
      <c r="I8" s="2" t="n">
        <v>0</v>
      </c>
      <c r="J8" s="2" t="n">
        <v>206941414</v>
      </c>
    </row>
    <row r="9">
      <c r="A9" t="inlineStr">
        <is>
          <t>NM</t>
        </is>
      </c>
      <c r="B9" t="inlineStr">
        <is>
          <t>Large group</t>
        </is>
      </c>
      <c r="C9" t="inlineStr">
        <is>
          <t>Health Care Service Corporation, a Mutual Legal Reserve Company</t>
        </is>
      </c>
      <c r="D9" s="4" t="n">
        <v>0.9399999999999999</v>
      </c>
      <c r="E9" s="4" t="n">
        <v>0.85</v>
      </c>
      <c r="F9" s="4" t="n">
        <v>0.947</v>
      </c>
      <c r="G9" t="n">
        <v>5</v>
      </c>
      <c r="H9" t="n">
        <v>4</v>
      </c>
      <c r="I9" s="2" t="n">
        <v>0</v>
      </c>
      <c r="J9" s="2" t="n">
        <v>609605873</v>
      </c>
    </row>
    <row r="10">
      <c r="A10" t="inlineStr">
        <is>
          <t>NM</t>
        </is>
      </c>
      <c r="B10" t="inlineStr">
        <is>
          <t>Small group</t>
        </is>
      </c>
      <c r="C10" t="inlineStr">
        <is>
          <t>Health Care Service Corporation, a Mutual Legal Reserve Company</t>
        </is>
      </c>
      <c r="D10" s="4" t="n">
        <v>0.906</v>
      </c>
      <c r="E10" s="4" t="n">
        <v>0.8</v>
      </c>
      <c r="F10" s="4" t="n">
        <v>0.86</v>
      </c>
      <c r="G10" t="n">
        <v>4</v>
      </c>
      <c r="H10" t="n">
        <v>2</v>
      </c>
      <c r="I10" s="2" t="n">
        <v>0</v>
      </c>
      <c r="J10" s="2" t="n">
        <v>176283478</v>
      </c>
    </row>
    <row r="11">
      <c r="A11" t="inlineStr">
        <is>
          <t>OK</t>
        </is>
      </c>
      <c r="B11" t="inlineStr">
        <is>
          <t>Individual</t>
        </is>
      </c>
      <c r="C11" t="inlineStr">
        <is>
          <t>Health Care Service Corporation, a Mutual Legal Reserve Company</t>
        </is>
      </c>
      <c r="D11" s="4" t="n">
        <v>0.985</v>
      </c>
      <c r="E11" s="4" t="n">
        <v>0.8</v>
      </c>
      <c r="F11" s="4" t="n">
        <v>0.788</v>
      </c>
      <c r="G11" t="n">
        <v>6</v>
      </c>
      <c r="H11" t="n">
        <v>2</v>
      </c>
      <c r="I11" s="2" t="n">
        <v>0</v>
      </c>
      <c r="J11" s="2" t="n">
        <v>1229085099</v>
      </c>
    </row>
    <row r="12">
      <c r="A12" t="inlineStr">
        <is>
          <t>OK</t>
        </is>
      </c>
      <c r="B12" t="inlineStr">
        <is>
          <t>Large group</t>
        </is>
      </c>
      <c r="C12" t="inlineStr">
        <is>
          <t>Health Care Service Corporation, a Mutual Legal Reserve Company</t>
        </is>
      </c>
      <c r="D12" s="4" t="n">
        <v>0.925</v>
      </c>
      <c r="E12" s="4" t="n">
        <v>0.85</v>
      </c>
      <c r="F12" s="4" t="n">
        <v>0.91</v>
      </c>
      <c r="G12" t="n">
        <v>7</v>
      </c>
      <c r="H12" t="n">
        <v>2</v>
      </c>
      <c r="I12" s="2" t="n">
        <v>0</v>
      </c>
      <c r="J12" s="2" t="n">
        <v>2050275417</v>
      </c>
    </row>
    <row r="13">
      <c r="A13" t="inlineStr">
        <is>
          <t>OK</t>
        </is>
      </c>
      <c r="B13" t="inlineStr">
        <is>
          <t>Small group</t>
        </is>
      </c>
      <c r="C13" t="inlineStr">
        <is>
          <t>Health Care Service Corporation, a Mutual Legal Reserve Company</t>
        </is>
      </c>
      <c r="D13" s="4" t="n">
        <v>0.857</v>
      </c>
      <c r="E13" s="4" t="n">
        <v>0.8</v>
      </c>
      <c r="F13" s="4" t="n">
        <v>0.9079999999999999</v>
      </c>
      <c r="G13" t="n">
        <v>4</v>
      </c>
      <c r="H13" t="n">
        <v>4</v>
      </c>
      <c r="I13" s="2" t="n">
        <v>0</v>
      </c>
      <c r="J13" s="2" t="n">
        <v>865862559</v>
      </c>
    </row>
    <row r="14">
      <c r="A14" t="inlineStr">
        <is>
          <t>TX</t>
        </is>
      </c>
      <c r="B14" t="inlineStr">
        <is>
          <t>Individual</t>
        </is>
      </c>
      <c r="C14" t="inlineStr">
        <is>
          <t>Health Care Service Corporation, a Mutual Legal Reserve Company</t>
        </is>
      </c>
      <c r="D14" s="4" t="n">
        <v>0.842</v>
      </c>
      <c r="E14" s="4" t="n">
        <v>0.8</v>
      </c>
      <c r="F14" s="4" t="n">
        <v>0.8485</v>
      </c>
      <c r="G14" t="n">
        <v>18</v>
      </c>
      <c r="H14" t="n">
        <v>10</v>
      </c>
      <c r="I14" s="2" t="n">
        <v>0</v>
      </c>
      <c r="J14" s="2" t="n">
        <v>9195196771</v>
      </c>
    </row>
    <row r="15">
      <c r="A15" t="inlineStr">
        <is>
          <t>TX</t>
        </is>
      </c>
      <c r="B15" t="inlineStr">
        <is>
          <t>Large group</t>
        </is>
      </c>
      <c r="C15" t="inlineStr">
        <is>
          <t>Health Care Service Corporation, a Mutual Legal Reserve Company</t>
        </is>
      </c>
      <c r="D15" s="4" t="n">
        <v>0.9409999999999999</v>
      </c>
      <c r="E15" s="4" t="n">
        <v>0.85</v>
      </c>
      <c r="F15" s="4" t="n">
        <v>0.93</v>
      </c>
      <c r="G15" t="n">
        <v>15</v>
      </c>
      <c r="H15" t="n">
        <v>5</v>
      </c>
      <c r="I15" s="2" t="n">
        <v>0</v>
      </c>
      <c r="J15" s="2" t="n">
        <v>10780124458</v>
      </c>
    </row>
    <row r="16">
      <c r="A16" t="inlineStr">
        <is>
          <t>TX</t>
        </is>
      </c>
      <c r="B16" t="inlineStr">
        <is>
          <t>Small group</t>
        </is>
      </c>
      <c r="C16" t="inlineStr">
        <is>
          <t>Health Care Service Corporation, a Mutual Legal Reserve Company</t>
        </is>
      </c>
      <c r="D16" s="4" t="n">
        <v>0.886</v>
      </c>
      <c r="E16" s="4" t="n">
        <v>0.8</v>
      </c>
      <c r="F16" s="4" t="n">
        <v>0.851</v>
      </c>
      <c r="G16" t="n">
        <v>7</v>
      </c>
      <c r="H16" t="n">
        <v>3</v>
      </c>
      <c r="I16" s="2" t="n">
        <v>0</v>
      </c>
      <c r="J16" s="2" t="n">
        <v>4408425109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6" customWidth="1" min="3" max="3"/>
    <col width="16" customWidth="1" min="4" max="4"/>
    <col width="16" customWidth="1" min="5" max="5"/>
    <col width="18" customWidth="1" min="6" max="6"/>
    <col width="13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3" customWidth="1" min="14" max="14"/>
    <col width="16" customWidth="1" min="15" max="15"/>
    <col width="18" customWidth="1" min="16" max="16"/>
    <col width="18" customWidth="1" min="17" max="17"/>
  </cols>
  <sheetData>
    <row r="1">
      <c r="A1" s="3" t="inlineStr">
        <is>
          <t>ID</t>
        </is>
      </c>
      <c r="B1" s="3" t="inlineStr">
        <is>
          <t>State</t>
        </is>
      </c>
      <c r="C1" s="3" t="inlineStr">
        <is>
          <t>Company</t>
        </is>
      </c>
      <c r="D1" s="3" t="inlineStr">
        <is>
          <t>Market</t>
        </is>
      </c>
      <c r="E1" s="3" t="inlineStr">
        <is>
          <t>Check</t>
        </is>
      </c>
      <c r="F1" s="3" t="inlineStr">
        <is>
          <t>Category</t>
        </is>
      </c>
      <c r="G1" s="3" t="inlineStr">
        <is>
          <t>Status</t>
        </is>
      </c>
      <c r="H1" s="3" t="inlineStr">
        <is>
          <t>Numerator</t>
        </is>
      </c>
      <c r="I1" s="3" t="inlineStr">
        <is>
          <t>Denominator</t>
        </is>
      </c>
      <c r="J1" s="3" t="inlineStr">
        <is>
          <t>Denominator (yr)</t>
        </is>
      </c>
      <c r="K1" s="3" t="inlineStr">
        <is>
          <t>Preliminary MLR</t>
        </is>
      </c>
      <c r="L1" s="3" t="inlineStr">
        <is>
          <t>Credibility adj.</t>
        </is>
      </c>
      <c r="M1" s="3" t="inlineStr">
        <is>
          <t>Adjusted MLR</t>
        </is>
      </c>
      <c r="N1" s="3" t="inlineStr">
        <is>
          <t>MLR standard</t>
        </is>
      </c>
      <c r="O1" s="3" t="inlineStr">
        <is>
          <t>Reported</t>
        </is>
      </c>
      <c r="P1" s="3" t="inlineStr">
        <is>
          <t>Expected (formula)</t>
        </is>
      </c>
      <c r="Q1" s="3" t="inlineStr">
        <is>
          <t>Difference (formula)</t>
        </is>
      </c>
    </row>
    <row r="2">
      <c r="A2" t="n">
        <v>26</v>
      </c>
      <c r="B2" t="inlineStr">
        <is>
          <t>PR</t>
        </is>
      </c>
      <c r="C2" t="inlineStr">
        <is>
          <t>MAPFRE Life Insurance Company</t>
        </is>
      </c>
      <c r="D2" t="inlineStr">
        <is>
          <t>Large group</t>
        </is>
      </c>
      <c r="E2" t="inlineStr">
        <is>
          <t>adjusted mlr</t>
        </is>
      </c>
      <c r="F2" t="inlineStr">
        <is>
          <t>implausible value</t>
        </is>
      </c>
      <c r="G2" t="inlineStr">
        <is>
          <t>open</t>
        </is>
      </c>
      <c r="H2" s="2" t="n">
        <v>63911096.7559853</v>
      </c>
      <c r="I2" s="2" t="n">
        <v>65764565.42685862</v>
      </c>
      <c r="J2" s="2" t="n">
        <v>27706828.99306242</v>
      </c>
      <c r="K2" t="n">
        <v>0.971816605814347</v>
      </c>
      <c r="L2" t="n">
        <v>0.0125384</v>
      </c>
      <c r="M2" t="n">
        <v>27706828.99306242</v>
      </c>
      <c r="N2" t="n">
        <v>0.85</v>
      </c>
      <c r="O2" s="5" t="n">
        <v>27706828.99306242</v>
      </c>
      <c r="P2" s="5">
        <f>K2+L2</f>
        <v/>
      </c>
      <c r="Q2" s="5">
        <f>IFERROR(O2-P2,"")</f>
        <v/>
      </c>
    </row>
    <row r="3">
      <c r="A3" t="n">
        <v>25</v>
      </c>
      <c r="B3" t="inlineStr">
        <is>
          <t>VI</t>
        </is>
      </c>
      <c r="C3" t="inlineStr">
        <is>
          <t>MAPFRE Life Insurance Company</t>
        </is>
      </c>
      <c r="D3" t="inlineStr">
        <is>
          <t>Small group</t>
        </is>
      </c>
      <c r="E3" t="inlineStr">
        <is>
          <t>preliminary mlr</t>
        </is>
      </c>
      <c r="F3" t="inlineStr">
        <is>
          <t>implausible value</t>
        </is>
      </c>
      <c r="G3" t="inlineStr">
        <is>
          <t>open</t>
        </is>
      </c>
      <c r="H3" s="2" t="n">
        <v>3505215</v>
      </c>
      <c r="I3" s="2" t="n">
        <v>3683684</v>
      </c>
      <c r="J3" s="2" t="n">
        <v>1180841</v>
      </c>
      <c r="K3" t="n">
        <v>0</v>
      </c>
      <c r="L3" t="n">
        <v>0</v>
      </c>
      <c r="M3" t="n">
        <v>0</v>
      </c>
      <c r="O3" s="5" t="n">
        <v>0</v>
      </c>
      <c r="P3" s="5">
        <f>IFERROR(H3/I3,"")</f>
        <v/>
      </c>
      <c r="Q3" s="5">
        <f>IFERROR(O3-P3,"")</f>
        <v/>
      </c>
    </row>
    <row r="4">
      <c r="A4" t="n">
        <v>21</v>
      </c>
      <c r="B4" t="inlineStr">
        <is>
          <t>CA</t>
        </is>
      </c>
      <c r="C4" t="inlineStr">
        <is>
          <t>Health Net Life Insurance Company</t>
        </is>
      </c>
      <c r="D4" t="inlineStr">
        <is>
          <t>Small group</t>
        </is>
      </c>
      <c r="E4" t="inlineStr">
        <is>
          <t>rebate</t>
        </is>
      </c>
      <c r="F4" t="inlineStr">
        <is>
          <t>nonpositive premium</t>
        </is>
      </c>
      <c r="G4" t="inlineStr">
        <is>
          <t>open</t>
        </is>
      </c>
      <c r="H4" s="2" t="n">
        <v>235960292.3296948</v>
      </c>
      <c r="I4" s="2" t="n">
        <v>239630524.6122526</v>
      </c>
      <c r="J4" s="2" t="n">
        <v>-28181608.74926873</v>
      </c>
      <c r="K4" t="n">
        <v>0.98468378647296</v>
      </c>
      <c r="L4" t="n">
        <v>0.0123814</v>
      </c>
      <c r="M4" t="n">
        <v>0.997</v>
      </c>
      <c r="N4" t="n">
        <v>0.8</v>
      </c>
      <c r="O4" s="2" t="n">
        <v>0</v>
      </c>
      <c r="P4" s="2">
        <f>MAX(0,(N4-M4)*J4)</f>
        <v/>
      </c>
      <c r="Q4" s="2">
        <f>IFERROR(O4-P4,"")</f>
        <v/>
      </c>
    </row>
    <row r="5">
      <c r="A5" t="n">
        <v>33</v>
      </c>
      <c r="B5" t="inlineStr">
        <is>
          <t>CA</t>
        </is>
      </c>
      <c r="C5" t="inlineStr">
        <is>
          <t>UnitedHealthcare Insurance Company</t>
        </is>
      </c>
      <c r="D5" t="inlineStr">
        <is>
          <t>Small group</t>
        </is>
      </c>
      <c r="E5" t="inlineStr">
        <is>
          <t>rebate</t>
        </is>
      </c>
      <c r="F5" t="inlineStr">
        <is>
          <t>nonpositive premium</t>
        </is>
      </c>
      <c r="G5" t="inlineStr">
        <is>
          <t>open</t>
        </is>
      </c>
      <c r="H5" s="2" t="n">
        <v>6745395.66</v>
      </c>
      <c r="I5" s="2" t="n">
        <v>130163.63</v>
      </c>
      <c r="J5" s="2" t="n">
        <v>-1141830.82</v>
      </c>
      <c r="K5" t="n">
        <v>51.8224304285303</v>
      </c>
      <c r="L5" t="n">
        <v>0.056073055555556</v>
      </c>
      <c r="M5" t="n">
        <v>51.879</v>
      </c>
      <c r="N5" t="n">
        <v>0.8</v>
      </c>
      <c r="O5" s="2" t="n">
        <v>0</v>
      </c>
      <c r="P5" s="2">
        <f>MAX(0,(N5-M5)*J5)</f>
        <v/>
      </c>
      <c r="Q5" s="2">
        <f>IFERROR(O5-P5,"")</f>
        <v/>
      </c>
    </row>
    <row r="6">
      <c r="A6" t="n">
        <v>35</v>
      </c>
      <c r="B6" t="inlineStr">
        <is>
          <t>CT</t>
        </is>
      </c>
      <c r="C6" t="inlineStr">
        <is>
          <t>HPHC Insurance Company, Inc.</t>
        </is>
      </c>
      <c r="D6" t="inlineStr">
        <is>
          <t>Large group</t>
        </is>
      </c>
      <c r="E6" t="inlineStr">
        <is>
          <t>rebate</t>
        </is>
      </c>
      <c r="F6" t="inlineStr">
        <is>
          <t>nonpositive premium</t>
        </is>
      </c>
      <c r="G6" t="inlineStr">
        <is>
          <t>open</t>
        </is>
      </c>
      <c r="H6" s="2" t="n">
        <v>37736481.1101268</v>
      </c>
      <c r="I6" s="2" t="n">
        <v>40228844.96957066</v>
      </c>
      <c r="J6" s="2" t="n">
        <v>-4478.95</v>
      </c>
      <c r="K6" t="n">
        <v>0.938045353742343</v>
      </c>
      <c r="L6" t="n">
        <v>0.0358901</v>
      </c>
      <c r="M6" t="n">
        <v>0.974</v>
      </c>
      <c r="N6" t="n">
        <v>0.85</v>
      </c>
      <c r="O6" s="2" t="n">
        <v>0</v>
      </c>
      <c r="P6" s="2">
        <f>MAX(0,(N6-M6)*J6)</f>
        <v/>
      </c>
      <c r="Q6" s="2">
        <f>IFERROR(O6-P6,"")</f>
        <v/>
      </c>
    </row>
    <row r="7">
      <c r="A7" t="n">
        <v>36</v>
      </c>
      <c r="B7" t="inlineStr">
        <is>
          <t>CT</t>
        </is>
      </c>
      <c r="C7" t="inlineStr">
        <is>
          <t>HPHC Insurance Company, Inc.</t>
        </is>
      </c>
      <c r="D7" t="inlineStr">
        <is>
          <t>Small group</t>
        </is>
      </c>
      <c r="E7" t="inlineStr">
        <is>
          <t>rebate</t>
        </is>
      </c>
      <c r="F7" t="inlineStr">
        <is>
          <t>nonpositive premium</t>
        </is>
      </c>
      <c r="G7" t="inlineStr">
        <is>
          <t>open</t>
        </is>
      </c>
      <c r="H7" s="2" t="n">
        <v>19727060.95927365</v>
      </c>
      <c r="I7" s="2" t="n">
        <v>22897479.82042935</v>
      </c>
      <c r="J7" s="2" t="n">
        <v>-430930.28</v>
      </c>
      <c r="K7" t="n">
        <v>0.8615385236270841</v>
      </c>
      <c r="L7" t="n">
        <v>0.048694</v>
      </c>
      <c r="M7" t="n">
        <v>0.91</v>
      </c>
      <c r="N7" t="n">
        <v>0.8</v>
      </c>
      <c r="O7" s="2" t="n">
        <v>0</v>
      </c>
      <c r="P7" s="2">
        <f>MAX(0,(N7-M7)*J7)</f>
        <v/>
      </c>
      <c r="Q7" s="2">
        <f>IFERROR(O7-P7,"")</f>
        <v/>
      </c>
    </row>
    <row r="8">
      <c r="A8" t="n">
        <v>29</v>
      </c>
      <c r="B8" t="inlineStr">
        <is>
          <t>IL</t>
        </is>
      </c>
      <c r="C8" t="inlineStr">
        <is>
          <t>Medica Central Health Plan</t>
        </is>
      </c>
      <c r="D8" t="inlineStr">
        <is>
          <t>Individual</t>
        </is>
      </c>
      <c r="E8" t="inlineStr">
        <is>
          <t>rebate</t>
        </is>
      </c>
      <c r="F8" t="inlineStr">
        <is>
          <t>nonpositive premium</t>
        </is>
      </c>
      <c r="G8" t="inlineStr">
        <is>
          <t>open</t>
        </is>
      </c>
      <c r="H8" s="2" t="n">
        <v>9664822.17</v>
      </c>
      <c r="I8" s="2" t="n">
        <v>10653825</v>
      </c>
      <c r="J8" s="2" t="n">
        <v>-72191</v>
      </c>
      <c r="K8" t="n">
        <v>0.907169225137451</v>
      </c>
      <c r="L8" t="n">
        <v>0.069087888888889</v>
      </c>
      <c r="M8" t="n">
        <v>0.976</v>
      </c>
      <c r="N8" t="n">
        <v>0.8</v>
      </c>
      <c r="O8" s="2" t="n">
        <v>0</v>
      </c>
      <c r="P8" s="2">
        <f>MAX(0,(N8-M8)*J8)</f>
        <v/>
      </c>
      <c r="Q8" s="2">
        <f>IFERROR(O8-P8,"")</f>
        <v/>
      </c>
    </row>
    <row r="9">
      <c r="A9" t="n">
        <v>22</v>
      </c>
      <c r="B9" t="inlineStr">
        <is>
          <t>KS</t>
        </is>
      </c>
      <c r="C9" t="inlineStr">
        <is>
          <t>Cigna Health and Life Insurance Company</t>
        </is>
      </c>
      <c r="D9" t="inlineStr">
        <is>
          <t>Individual</t>
        </is>
      </c>
      <c r="E9" t="inlineStr">
        <is>
          <t>rebate</t>
        </is>
      </c>
      <c r="F9" t="inlineStr">
        <is>
          <t>nonpositive premium</t>
        </is>
      </c>
      <c r="G9" t="inlineStr">
        <is>
          <t>open</t>
        </is>
      </c>
      <c r="H9" s="2" t="n">
        <v>19895627</v>
      </c>
      <c r="I9" s="2" t="n">
        <v>22702617</v>
      </c>
      <c r="J9" s="2" t="n">
        <v>-484033</v>
      </c>
      <c r="K9" t="n">
        <v>0.876358307062133</v>
      </c>
      <c r="L9" t="n">
        <v>0.0601923695152</v>
      </c>
      <c r="M9" t="n">
        <v>0.9370000000000001</v>
      </c>
      <c r="N9" t="n">
        <v>0.8</v>
      </c>
      <c r="O9" s="2" t="n">
        <v>0</v>
      </c>
      <c r="P9" s="2">
        <f>MAX(0,(N9-M9)*J9)</f>
        <v/>
      </c>
      <c r="Q9" s="2">
        <f>IFERROR(O9-P9,"")</f>
        <v/>
      </c>
    </row>
    <row r="10">
      <c r="A10" t="n">
        <v>23</v>
      </c>
      <c r="B10" t="inlineStr">
        <is>
          <t>MO</t>
        </is>
      </c>
      <c r="C10" t="inlineStr">
        <is>
          <t>Cigna Health and Life Insurance Company</t>
        </is>
      </c>
      <c r="D10" t="inlineStr">
        <is>
          <t>Individual</t>
        </is>
      </c>
      <c r="E10" t="inlineStr">
        <is>
          <t>rebate</t>
        </is>
      </c>
      <c r="F10" t="inlineStr">
        <is>
          <t>nonpositive premium</t>
        </is>
      </c>
      <c r="G10" t="inlineStr">
        <is>
          <t>open</t>
        </is>
      </c>
      <c r="H10" s="2" t="n">
        <v>371458297</v>
      </c>
      <c r="I10" s="2" t="n">
        <v>403758060</v>
      </c>
      <c r="J10" s="2" t="n">
        <v>-9411343</v>
      </c>
      <c r="K10" t="n">
        <v>0.920002183981169</v>
      </c>
      <c r="L10" t="n">
        <v>0.011276911286784</v>
      </c>
      <c r="M10" t="n">
        <v>0.931</v>
      </c>
      <c r="N10" t="n">
        <v>0.8</v>
      </c>
      <c r="O10" s="2" t="n">
        <v>0</v>
      </c>
      <c r="P10" s="2">
        <f>MAX(0,(N10-M10)*J10)</f>
        <v/>
      </c>
      <c r="Q10" s="2">
        <f>IFERROR(O10-P10,"")</f>
        <v/>
      </c>
    </row>
    <row r="11">
      <c r="A11" t="n">
        <v>24</v>
      </c>
      <c r="B11" t="inlineStr">
        <is>
          <t>NJ</t>
        </is>
      </c>
      <c r="C11" t="inlineStr">
        <is>
          <t>Horizon Healthcare of New Jersey</t>
        </is>
      </c>
      <c r="D11" t="inlineStr">
        <is>
          <t>Large group</t>
        </is>
      </c>
      <c r="E11" t="inlineStr">
        <is>
          <t>rebate</t>
        </is>
      </c>
      <c r="F11" t="inlineStr">
        <is>
          <t>nonpositive premium</t>
        </is>
      </c>
      <c r="G11" t="inlineStr">
        <is>
          <t>open</t>
        </is>
      </c>
      <c r="H11" s="2" t="n">
        <v>14856538.84</v>
      </c>
      <c r="I11" s="2" t="n">
        <v>6145275.77</v>
      </c>
      <c r="J11" s="2" t="n">
        <v>-653704.63</v>
      </c>
      <c r="K11" t="n">
        <v>2.417554456480918</v>
      </c>
      <c r="L11" t="n">
        <v>0.0779</v>
      </c>
      <c r="M11" t="n">
        <v>2.496</v>
      </c>
      <c r="N11" t="n">
        <v>0.85</v>
      </c>
      <c r="O11" s="2" t="n">
        <v>0</v>
      </c>
      <c r="P11" s="2">
        <f>MAX(0,(N11-M11)*J11)</f>
        <v/>
      </c>
      <c r="Q11" s="2">
        <f>IFERROR(O11-P11,"")</f>
        <v/>
      </c>
    </row>
    <row r="12">
      <c r="A12" t="n">
        <v>19</v>
      </c>
      <c r="B12" t="inlineStr">
        <is>
          <t>TX</t>
        </is>
      </c>
      <c r="C12" t="inlineStr">
        <is>
          <t>SHA, LLC</t>
        </is>
      </c>
      <c r="D12" t="inlineStr">
        <is>
          <t>Individual</t>
        </is>
      </c>
      <c r="E12" t="inlineStr">
        <is>
          <t>rebate</t>
        </is>
      </c>
      <c r="F12" t="inlineStr">
        <is>
          <t>nonpositive premium</t>
        </is>
      </c>
      <c r="G12" t="inlineStr">
        <is>
          <t>open</t>
        </is>
      </c>
      <c r="H12" s="2" t="n">
        <v>156495724.0934722</v>
      </c>
      <c r="I12" s="2" t="n">
        <v>155246150.2</v>
      </c>
      <c r="J12" s="2" t="n">
        <v>-216445.48</v>
      </c>
      <c r="K12" t="n">
        <v>1.008048984737222</v>
      </c>
      <c r="L12" t="n">
        <v>0.018509722222222</v>
      </c>
      <c r="M12" t="n">
        <v>1.027</v>
      </c>
      <c r="N12" t="n">
        <v>0.8</v>
      </c>
      <c r="O12" s="2" t="n">
        <v>0</v>
      </c>
      <c r="P12" s="2">
        <f>MAX(0,(N12-M12)*J12)</f>
        <v/>
      </c>
      <c r="Q12" s="2">
        <f>IFERROR(O12-P12,"")</f>
        <v/>
      </c>
    </row>
    <row r="13">
      <c r="A13" t="n">
        <v>31</v>
      </c>
      <c r="B13" t="inlineStr">
        <is>
          <t>CA</t>
        </is>
      </c>
      <c r="C13" t="inlineStr">
        <is>
          <t>County of Santa Clara</t>
        </is>
      </c>
      <c r="D13" t="inlineStr">
        <is>
          <t>Individual</t>
        </is>
      </c>
      <c r="E13" t="inlineStr">
        <is>
          <t>preliminary mlr</t>
        </is>
      </c>
      <c r="F13" t="inlineStr">
        <is>
          <t>unexplained</t>
        </is>
      </c>
      <c r="G13" t="inlineStr">
        <is>
          <t>open</t>
        </is>
      </c>
      <c r="H13" s="2" t="n">
        <v>515189495</v>
      </c>
      <c r="I13" s="2" t="n">
        <v>327842392</v>
      </c>
      <c r="J13" s="2" t="n">
        <v>136088847</v>
      </c>
      <c r="K13" t="n">
        <v>1.554</v>
      </c>
      <c r="L13" t="n">
        <v>0.003</v>
      </c>
      <c r="M13" t="n">
        <v>1.557</v>
      </c>
      <c r="N13" t="n">
        <v>0.8</v>
      </c>
      <c r="O13" s="5" t="n">
        <v>1.554</v>
      </c>
      <c r="P13" s="5">
        <f>IFERROR(H13/I13,"")</f>
        <v/>
      </c>
      <c r="Q13" s="5">
        <f>IFERROR(O13-P13,"")</f>
        <v/>
      </c>
    </row>
    <row r="14">
      <c r="A14" t="n">
        <v>32</v>
      </c>
      <c r="B14" t="inlineStr">
        <is>
          <t>CA</t>
        </is>
      </c>
      <c r="C14" t="inlineStr">
        <is>
          <t>County of Santa Clara</t>
        </is>
      </c>
      <c r="D14" t="inlineStr">
        <is>
          <t>Large group</t>
        </is>
      </c>
      <c r="E14" t="inlineStr">
        <is>
          <t>preliminary mlr</t>
        </is>
      </c>
      <c r="F14" t="inlineStr">
        <is>
          <t>unexplained</t>
        </is>
      </c>
      <c r="G14" t="inlineStr">
        <is>
          <t>open</t>
        </is>
      </c>
      <c r="H14" s="2" t="n">
        <v>797428050.61</v>
      </c>
      <c r="I14" s="2" t="n">
        <v>788043631.0599999</v>
      </c>
      <c r="J14" s="2" t="n">
        <v>294868094</v>
      </c>
      <c r="K14" t="n">
        <v>1.01</v>
      </c>
      <c r="L14" t="n">
        <v>0</v>
      </c>
      <c r="M14" t="n">
        <v>1.01</v>
      </c>
      <c r="N14" t="n">
        <v>0.8</v>
      </c>
      <c r="O14" s="5" t="n">
        <v>1.01</v>
      </c>
      <c r="P14" s="5">
        <f>IFERROR(H14/I14,"")</f>
        <v/>
      </c>
      <c r="Q14" s="5">
        <f>IFERROR(O14-P14,"")</f>
        <v/>
      </c>
    </row>
    <row r="15">
      <c r="A15" t="n">
        <v>20</v>
      </c>
      <c r="B15" t="inlineStr">
        <is>
          <t>CA</t>
        </is>
      </c>
      <c r="C15" t="inlineStr">
        <is>
          <t>Health Net Life Insurance Company</t>
        </is>
      </c>
      <c r="D15" t="inlineStr">
        <is>
          <t>Large group</t>
        </is>
      </c>
      <c r="E15" t="inlineStr">
        <is>
          <t>rebate</t>
        </is>
      </c>
      <c r="F15" t="inlineStr">
        <is>
          <t>unexplained</t>
        </is>
      </c>
      <c r="G15" t="inlineStr">
        <is>
          <t>open</t>
        </is>
      </c>
      <c r="H15" s="2" t="n">
        <v>115533846.7110783</v>
      </c>
      <c r="I15" s="2" t="n">
        <v>151267426.0415629</v>
      </c>
      <c r="J15" s="2" t="n">
        <v>35241918.47047412</v>
      </c>
      <c r="K15" t="n">
        <v>0.763772146683674</v>
      </c>
      <c r="L15" t="n">
        <v>0.024740444444444</v>
      </c>
      <c r="M15" t="n">
        <v>0.789</v>
      </c>
      <c r="N15" t="n">
        <v>0.85</v>
      </c>
      <c r="O15" s="2" t="n">
        <v>0</v>
      </c>
      <c r="P15" s="2">
        <f>MAX(0,(N15-M15)*J15)</f>
        <v/>
      </c>
      <c r="Q15" s="2">
        <f>IFERROR(O15-P15,"")</f>
        <v/>
      </c>
    </row>
    <row r="16">
      <c r="A16" t="n">
        <v>27</v>
      </c>
      <c r="B16" t="inlineStr">
        <is>
          <t>GA</t>
        </is>
      </c>
      <c r="C16" t="inlineStr">
        <is>
          <t>Curative Insurance Company</t>
        </is>
      </c>
      <c r="D16" t="inlineStr">
        <is>
          <t>Large group</t>
        </is>
      </c>
      <c r="E16" t="inlineStr">
        <is>
          <t>preliminary mlr</t>
        </is>
      </c>
      <c r="F16" t="inlineStr">
        <is>
          <t>unexplained</t>
        </is>
      </c>
      <c r="G16" t="inlineStr">
        <is>
          <t>open</t>
        </is>
      </c>
      <c r="H16" s="2" t="n">
        <v>359500</v>
      </c>
      <c r="I16" s="2" t="n">
        <v>339159</v>
      </c>
      <c r="J16" s="2" t="n">
        <v>339159</v>
      </c>
      <c r="K16" t="n">
        <v>1.327966779917253</v>
      </c>
      <c r="L16" t="n">
        <v>0</v>
      </c>
      <c r="M16" t="n">
        <v>1.059974820069643</v>
      </c>
      <c r="N16" t="n">
        <v>0.85</v>
      </c>
      <c r="O16" s="5" t="n">
        <v>1.327966779917253</v>
      </c>
      <c r="P16" s="5">
        <f>IFERROR(H16/I16,"")</f>
        <v/>
      </c>
      <c r="Q16" s="5">
        <f>IFERROR(O16-P16,"")</f>
        <v/>
      </c>
    </row>
    <row r="17">
      <c r="A17" t="n">
        <v>28</v>
      </c>
      <c r="B17" t="inlineStr">
        <is>
          <t>GA</t>
        </is>
      </c>
      <c r="C17" t="inlineStr">
        <is>
          <t>Curative Insurance Company</t>
        </is>
      </c>
      <c r="D17" t="inlineStr">
        <is>
          <t>Large group</t>
        </is>
      </c>
      <c r="E17" t="inlineStr">
        <is>
          <t>adjusted mlr</t>
        </is>
      </c>
      <c r="F17" t="inlineStr">
        <is>
          <t>unexplained</t>
        </is>
      </c>
      <c r="G17" t="inlineStr">
        <is>
          <t>open</t>
        </is>
      </c>
      <c r="H17" s="2" t="n">
        <v>359500</v>
      </c>
      <c r="I17" s="2" t="n">
        <v>339159</v>
      </c>
      <c r="J17" s="2" t="n">
        <v>339159</v>
      </c>
      <c r="K17" t="n">
        <v>1.327966779917253</v>
      </c>
      <c r="L17" t="n">
        <v>0</v>
      </c>
      <c r="M17" t="n">
        <v>1.059974820069643</v>
      </c>
      <c r="N17" t="n">
        <v>0.85</v>
      </c>
      <c r="O17" s="5" t="n">
        <v>1.059974820069643</v>
      </c>
      <c r="P17" s="5">
        <f>K17+L17</f>
        <v/>
      </c>
      <c r="Q17" s="5">
        <f>IFERROR(O17-P17,"")</f>
        <v/>
      </c>
    </row>
    <row r="18">
      <c r="A18" t="n">
        <v>30</v>
      </c>
      <c r="B18" t="inlineStr">
        <is>
          <t>IN</t>
        </is>
      </c>
      <c r="C18" t="inlineStr">
        <is>
          <t>Physicians Health Plan of Northern Indiana, Inc.</t>
        </is>
      </c>
      <c r="D18" t="inlineStr">
        <is>
          <t>Large group</t>
        </is>
      </c>
      <c r="E18" t="inlineStr">
        <is>
          <t>preliminary mlr</t>
        </is>
      </c>
      <c r="F18" t="inlineStr">
        <is>
          <t>unexplained</t>
        </is>
      </c>
      <c r="G18" t="inlineStr">
        <is>
          <t>open</t>
        </is>
      </c>
      <c r="H18" s="2" t="n">
        <v>258630155</v>
      </c>
      <c r="I18" s="2" t="n">
        <v>272518084</v>
      </c>
      <c r="J18" s="2" t="n">
        <v>98191400</v>
      </c>
      <c r="K18" t="n">
        <v>0.957761881960098</v>
      </c>
      <c r="L18" t="n">
        <v>0.016747814121131</v>
      </c>
      <c r="M18" t="n">
        <v>0.975</v>
      </c>
      <c r="N18" t="n">
        <v>0.85</v>
      </c>
      <c r="O18" s="5" t="n">
        <v>0.957761881960098</v>
      </c>
      <c r="P18" s="5">
        <f>IFERROR(H18/I18,"")</f>
        <v/>
      </c>
      <c r="Q18" s="5">
        <f>IFERROR(O18-P18,"")</f>
        <v/>
      </c>
    </row>
    <row r="19">
      <c r="A19" t="n">
        <v>34</v>
      </c>
      <c r="B19" t="inlineStr">
        <is>
          <t>WA</t>
        </is>
      </c>
      <c r="C19" t="inlineStr">
        <is>
          <t>Providence Health Plan</t>
        </is>
      </c>
      <c r="D19" t="inlineStr">
        <is>
          <t>Individual</t>
        </is>
      </c>
      <c r="E19" t="inlineStr">
        <is>
          <t>rebate</t>
        </is>
      </c>
      <c r="F19" t="inlineStr">
        <is>
          <t>unexplained</t>
        </is>
      </c>
      <c r="G19" t="inlineStr">
        <is>
          <t>open</t>
        </is>
      </c>
      <c r="H19" s="2" t="n">
        <v>3448342.539375835</v>
      </c>
      <c r="I19" s="2" t="n">
        <v>4520480.610593181</v>
      </c>
      <c r="J19" s="2" t="n">
        <v>1834694.055861612</v>
      </c>
      <c r="K19" t="n">
        <v>0.762826530279784</v>
      </c>
      <c r="L19" t="n">
        <v>0</v>
      </c>
      <c r="M19" t="n">
        <v>0.763</v>
      </c>
      <c r="N19" t="n">
        <v>0.8</v>
      </c>
      <c r="O19" s="2" t="n">
        <v>0</v>
      </c>
      <c r="P19" s="2">
        <f>MAX(0,(N19-M19)*J19)</f>
        <v/>
      </c>
      <c r="Q19" s="2">
        <f>IFERROR(O19-P19,"")</f>
        <v/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2026-10-18T22:51:16Z</dcterms:created>
  <dcterms:modified xsi:type="dcterms:W3CDTF">2026-10-18T22:51:17Z</dcterms:modified>
</cp:coreProperties>
</file>